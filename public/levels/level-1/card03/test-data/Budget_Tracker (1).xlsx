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Summary" sheetId="1" state="visible" r:id="rId1"/>
    <sheet xmlns:r="http://schemas.openxmlformats.org/officeDocument/2006/relationships" name="Monthly Spend Tr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9"/>
    </font>
    <font>
      <name val="Arial"/>
      <color rgb="00CC0000"/>
      <sz val="9"/>
    </font>
    <font>
      <name val="Arial"/>
      <color rgb="00228B22"/>
      <sz val="9"/>
    </font>
    <font>
      <name val="Arial"/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D6E4F0"/>
      </patternFill>
    </fill>
    <fill>
      <patternFill patternType="solid">
        <fgColor rgb="001F6FB2"/>
      </patternFill>
    </fill>
    <fill>
      <patternFill patternType="solid">
        <fgColor rgb="00F5F5F5"/>
      </patternFill>
    </fill>
    <fill>
      <patternFill patternType="solid">
        <fgColor rgb="00FFF8DC"/>
      </patternFill>
    </fill>
    <fill>
      <patternFill patternType="solid">
        <fgColor rgb="00FFFFFF"/>
      </patternFill>
    </fill>
    <fill>
      <patternFill patternType="solid">
        <fgColor rgb="00DFF2E1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/>
    </xf>
    <xf numFmtId="3" fontId="0" fillId="5" borderId="2" applyAlignment="1" pivotButton="0" quotePrefix="0" xfId="0">
      <alignment horizontal="center" vertical="center"/>
    </xf>
    <xf numFmtId="3" fontId="0" fillId="6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left" vertical="center"/>
    </xf>
    <xf numFmtId="3" fontId="0" fillId="7" borderId="2" applyAlignment="1" pivotButton="0" quotePrefix="0" xfId="0">
      <alignment horizontal="center" vertical="center"/>
    </xf>
    <xf numFmtId="3" fontId="0" fillId="8" borderId="2" applyAlignment="1" pivotButton="0" quotePrefix="0" xfId="0">
      <alignment horizontal="center" vertical="center"/>
    </xf>
    <xf numFmtId="0" fontId="3" fillId="2" borderId="0" pivotButton="0" quotePrefix="0" xfId="0"/>
    <xf numFmtId="3" fontId="3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4" fillId="5" borderId="2" applyAlignment="1" pivotButton="0" quotePrefix="0" xfId="0">
      <alignment horizontal="left"/>
    </xf>
    <xf numFmtId="3" fontId="4" fillId="5" borderId="2" applyAlignment="1" pivotButton="0" quotePrefix="0" xfId="0">
      <alignment horizontal="center"/>
    </xf>
    <xf numFmtId="0" fontId="4" fillId="7" borderId="2" applyAlignment="1" pivotButton="0" quotePrefix="0" xfId="0">
      <alignment horizontal="left"/>
    </xf>
    <xf numFmtId="3" fontId="4" fillId="7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32" customHeight="1">
      <c r="A1" s="1" t="inlineStr">
        <is>
          <t>PROJECT NOVA-FIN | Budget Tracker — FY 2024-25</t>
        </is>
      </c>
    </row>
    <row r="2" ht="18" customHeight="1">
      <c r="A2" s="2" t="inlineStr">
        <is>
          <t>Client: Meridian Bank | TCS Project Code: TCS-BFSI-2024-0847 | PM: Renu Gupta | Reporting Period: Q3 FY25 (Oct–Dec 2024)</t>
        </is>
      </c>
    </row>
    <row r="3" ht="8" customHeight="1"/>
    <row r="4" ht="30" customHeight="1">
      <c r="A4" s="3" t="inlineStr">
        <is>
          <t>Workstream</t>
        </is>
      </c>
      <c r="B4" s="3" t="inlineStr">
        <is>
          <t>Planned ($K)</t>
        </is>
      </c>
      <c r="C4" s="3" t="inlineStr">
        <is>
          <t>Actual Q1 ($K)</t>
        </is>
      </c>
      <c r="D4" s="3" t="inlineStr">
        <is>
          <t>Actual Q2 ($K)</t>
        </is>
      </c>
      <c r="E4" s="3" t="inlineStr">
        <is>
          <t>Actual Q3 ($K)</t>
        </is>
      </c>
      <c r="F4" s="3" t="inlineStr">
        <is>
          <t>Total Actual ($K)</t>
        </is>
      </c>
      <c r="G4" s="3" t="inlineStr">
        <is>
          <t>Forecast to Complete ($K)</t>
        </is>
      </c>
      <c r="H4" s="3" t="inlineStr">
        <is>
          <t>Total at Completion ($K)</t>
        </is>
      </c>
      <c r="I4" s="3" t="inlineStr">
        <is>
          <t>Variance ($K)</t>
        </is>
      </c>
    </row>
    <row r="5">
      <c r="A5" s="4" t="inlineStr">
        <is>
          <t>Cloud Infrastructure Setup</t>
        </is>
      </c>
      <c r="B5" s="5" t="n">
        <v>2800</v>
      </c>
      <c r="C5" s="5" t="n">
        <v>680</v>
      </c>
      <c r="D5" s="5" t="n">
        <v>720</v>
      </c>
      <c r="E5" s="5" t="n">
        <v>810</v>
      </c>
      <c r="F5" s="5">
        <f>C5+D5+E5</f>
        <v/>
      </c>
      <c r="G5" s="5" t="n">
        <v>520</v>
      </c>
      <c r="H5" s="5">
        <f>F5+G5</f>
        <v/>
      </c>
      <c r="I5" s="6">
        <f>B5-H5</f>
        <v/>
      </c>
    </row>
    <row r="6">
      <c r="A6" s="7" t="inlineStr">
        <is>
          <t>Core Banking Integration</t>
        </is>
      </c>
      <c r="B6" s="8" t="n">
        <v>3200</v>
      </c>
      <c r="C6" s="8" t="n">
        <v>720</v>
      </c>
      <c r="D6" s="8" t="n">
        <v>810</v>
      </c>
      <c r="E6" s="8" t="n">
        <v>890</v>
      </c>
      <c r="F6" s="8">
        <f>C6+D6+E6</f>
        <v/>
      </c>
      <c r="G6" s="8" t="n">
        <v>680</v>
      </c>
      <c r="H6" s="8">
        <f>F6+G6</f>
        <v/>
      </c>
      <c r="I6" s="6">
        <f>B6-H6</f>
        <v/>
      </c>
    </row>
    <row r="7">
      <c r="A7" s="4" t="inlineStr">
        <is>
          <t>Data Migration &amp; Validation</t>
        </is>
      </c>
      <c r="B7" s="5" t="n">
        <v>1800</v>
      </c>
      <c r="C7" s="5" t="n">
        <v>380</v>
      </c>
      <c r="D7" s="5" t="n">
        <v>420</v>
      </c>
      <c r="E7" s="5" t="n">
        <v>510</v>
      </c>
      <c r="F7" s="5">
        <f>C7+D7+E7</f>
        <v/>
      </c>
      <c r="G7" s="5" t="n">
        <v>310</v>
      </c>
      <c r="H7" s="5">
        <f>F7+G7</f>
        <v/>
      </c>
      <c r="I7" s="9">
        <f>B7-H7</f>
        <v/>
      </c>
    </row>
    <row r="8">
      <c r="A8" s="7" t="inlineStr">
        <is>
          <t>Security &amp; Compliance</t>
        </is>
      </c>
      <c r="B8" s="8" t="n">
        <v>1200</v>
      </c>
      <c r="C8" s="8" t="n">
        <v>210</v>
      </c>
      <c r="D8" s="8" t="n">
        <v>260</v>
      </c>
      <c r="E8" s="8" t="n">
        <v>310</v>
      </c>
      <c r="F8" s="8">
        <f>C8+D8+E8</f>
        <v/>
      </c>
      <c r="G8" s="8" t="n">
        <v>180</v>
      </c>
      <c r="H8" s="8">
        <f>F8+G8</f>
        <v/>
      </c>
      <c r="I8" s="9">
        <f>B8-H8</f>
        <v/>
      </c>
    </row>
    <row r="9">
      <c r="A9" s="4" t="inlineStr">
        <is>
          <t>AI/ML Model Development</t>
        </is>
      </c>
      <c r="B9" s="5" t="n">
        <v>2200</v>
      </c>
      <c r="C9" s="5" t="n">
        <v>480</v>
      </c>
      <c r="D9" s="5" t="n">
        <v>560</v>
      </c>
      <c r="E9" s="5" t="n">
        <v>620</v>
      </c>
      <c r="F9" s="5">
        <f>C9+D9+E9</f>
        <v/>
      </c>
      <c r="G9" s="5" t="n">
        <v>340</v>
      </c>
      <c r="H9" s="5">
        <f>F9+G9</f>
        <v/>
      </c>
      <c r="I9" s="9">
        <f>B9-H9</f>
        <v/>
      </c>
    </row>
    <row r="10">
      <c r="A10" s="7" t="inlineStr">
        <is>
          <t>Testing &amp; QA</t>
        </is>
      </c>
      <c r="B10" s="8" t="n">
        <v>1400</v>
      </c>
      <c r="C10" s="8" t="n">
        <v>280</v>
      </c>
      <c r="D10" s="8" t="n">
        <v>320</v>
      </c>
      <c r="E10" s="8" t="n">
        <v>390</v>
      </c>
      <c r="F10" s="8">
        <f>C10+D10+E10</f>
        <v/>
      </c>
      <c r="G10" s="8" t="n">
        <v>280</v>
      </c>
      <c r="H10" s="8">
        <f>F10+G10</f>
        <v/>
      </c>
      <c r="I10" s="9">
        <f>B10-H10</f>
        <v/>
      </c>
    </row>
    <row r="11">
      <c r="A11" s="4" t="inlineStr">
        <is>
          <t>Change Management &amp; Training</t>
        </is>
      </c>
      <c r="B11" s="5" t="n">
        <v>800</v>
      </c>
      <c r="C11" s="5" t="n">
        <v>120</v>
      </c>
      <c r="D11" s="5" t="n">
        <v>160</v>
      </c>
      <c r="E11" s="5" t="n">
        <v>210</v>
      </c>
      <c r="F11" s="5">
        <f>C11+D11+E11</f>
        <v/>
      </c>
      <c r="G11" s="5" t="n">
        <v>180</v>
      </c>
      <c r="H11" s="5">
        <f>F11+G11</f>
        <v/>
      </c>
      <c r="I11" s="9">
        <f>B11-H11</f>
        <v/>
      </c>
    </row>
    <row r="12">
      <c r="A12" s="7" t="inlineStr">
        <is>
          <t>Project Management</t>
        </is>
      </c>
      <c r="B12" s="8" t="n">
        <v>600</v>
      </c>
      <c r="C12" s="8" t="n">
        <v>145</v>
      </c>
      <c r="D12" s="8" t="n">
        <v>148</v>
      </c>
      <c r="E12" s="8" t="n">
        <v>152</v>
      </c>
      <c r="F12" s="8">
        <f>C12+D12+E12</f>
        <v/>
      </c>
      <c r="G12" s="8" t="n">
        <v>155</v>
      </c>
      <c r="H12" s="8">
        <f>F12+G12</f>
        <v/>
      </c>
      <c r="I12" s="6">
        <f>B12-H12</f>
        <v/>
      </c>
    </row>
    <row r="13">
      <c r="A13" s="4" t="inlineStr">
        <is>
          <t>Contingency Reserve</t>
        </is>
      </c>
      <c r="B13" s="5" t="n">
        <v>700</v>
      </c>
      <c r="C13" s="5" t="n">
        <v>0</v>
      </c>
      <c r="D13" s="5" t="n">
        <v>0</v>
      </c>
      <c r="E13" s="5" t="n">
        <v>0</v>
      </c>
      <c r="F13" s="5">
        <f>C13+D13+E13</f>
        <v/>
      </c>
      <c r="G13" s="5" t="n">
        <v>420</v>
      </c>
      <c r="H13" s="5">
        <f>F13+G13</f>
        <v/>
      </c>
      <c r="I13" s="9">
        <f>B13-H13</f>
        <v/>
      </c>
    </row>
    <row r="14" ht="22" customHeight="1">
      <c r="A14" s="10" t="inlineStr">
        <is>
          <t>TOTAL PROJECT</t>
        </is>
      </c>
      <c r="B14" s="11">
        <f>SUM(B5:B13)</f>
        <v/>
      </c>
      <c r="C14" s="11">
        <f>SUM(C5:C13)</f>
        <v/>
      </c>
      <c r="D14" s="11">
        <f>SUM(D5:D13)</f>
        <v/>
      </c>
      <c r="E14" s="11">
        <f>SUM(E5:E13)</f>
        <v/>
      </c>
      <c r="F14" s="11">
        <f>SUM(F5:F13)</f>
        <v/>
      </c>
      <c r="G14" s="11">
        <f>SUM(G5:G13)</f>
        <v/>
      </c>
      <c r="H14" s="11">
        <f>SUM(H5:H13)</f>
        <v/>
      </c>
      <c r="I14" s="11">
        <f>SUM(I5:I13)</f>
        <v/>
      </c>
    </row>
    <row r="16">
      <c r="A16" s="12" t="inlineStr">
        <is>
          <t>Notes:</t>
        </is>
      </c>
    </row>
    <row r="17">
      <c r="A17" s="13" t="inlineStr">
        <is>
          <t>1. Core Banking Integration is 8.4% over budget — scope creep due to additional regulatory API requirements added in Q2.</t>
        </is>
      </c>
    </row>
    <row r="18">
      <c r="A18" s="13" t="inlineStr">
        <is>
          <t>2. Contingency Reserve draw of $420K approved by Steering Committee on 18-Nov-2024 for security compliance gap.</t>
        </is>
      </c>
    </row>
    <row r="19">
      <c r="A19" s="14" t="inlineStr">
        <is>
          <t>3. AI/ML workstream tracking well — $340K remaining FTC vs $600K original plan; efficiency gains from reusable model components.</t>
        </is>
      </c>
    </row>
  </sheetData>
  <mergeCells count="6">
    <mergeCell ref="A2:I2"/>
    <mergeCell ref="A19:I19"/>
    <mergeCell ref="A1:I1"/>
    <mergeCell ref="A17:I17"/>
    <mergeCell ref="A18:I18"/>
    <mergeCell ref="A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0" customWidth="1" min="3" max="3"/>
    <col width="24" customWidth="1" min="4" max="4"/>
    <col width="24" customWidth="1" min="5" max="5"/>
  </cols>
  <sheetData>
    <row r="1" ht="28" customHeight="1">
      <c r="A1" s="15" t="inlineStr">
        <is>
          <t>Monthly Spend vs Baseline Budget — Project NOVA-FIN</t>
        </is>
      </c>
    </row>
    <row r="2">
      <c r="A2" s="16" t="inlineStr">
        <is>
          <t>Month</t>
        </is>
      </c>
      <c r="B2" s="16" t="inlineStr">
        <is>
          <t>Baseline Monthly ($K)</t>
        </is>
      </c>
      <c r="C2" s="16" t="inlineStr">
        <is>
          <t>Actual Spend ($K)</t>
        </is>
      </c>
      <c r="D2" s="16" t="inlineStr">
        <is>
          <t>Cumulative Actual ($K)</t>
        </is>
      </c>
      <c r="E2" s="16" t="inlineStr">
        <is>
          <t>Cumulative Baseline ($K)</t>
        </is>
      </c>
    </row>
    <row r="3">
      <c r="A3" s="17" t="inlineStr">
        <is>
          <t>Apr 2024</t>
        </is>
      </c>
      <c r="B3" s="18" t="n">
        <v>1150</v>
      </c>
      <c r="C3" s="18" t="n">
        <v>980</v>
      </c>
      <c r="D3" s="18" t="n">
        <v>980</v>
      </c>
      <c r="E3" s="18" t="n">
        <v>1150</v>
      </c>
    </row>
    <row r="4">
      <c r="A4" s="19" t="inlineStr">
        <is>
          <t>May 2024</t>
        </is>
      </c>
      <c r="B4" s="20" t="n">
        <v>1150</v>
      </c>
      <c r="C4" s="20" t="n">
        <v>1080</v>
      </c>
      <c r="D4" s="20" t="n">
        <v>2060</v>
      </c>
      <c r="E4" s="20" t="n">
        <v>2300</v>
      </c>
    </row>
    <row r="5">
      <c r="A5" s="17" t="inlineStr">
        <is>
          <t>Jun 2024</t>
        </is>
      </c>
      <c r="B5" s="18" t="n">
        <v>1150</v>
      </c>
      <c r="C5" s="18" t="n">
        <v>1220</v>
      </c>
      <c r="D5" s="18" t="n">
        <v>3280</v>
      </c>
      <c r="E5" s="18" t="n">
        <v>3450</v>
      </c>
    </row>
    <row r="6">
      <c r="A6" s="19" t="inlineStr">
        <is>
          <t>Jul 2024</t>
        </is>
      </c>
      <c r="B6" s="20" t="n">
        <v>1150</v>
      </c>
      <c r="C6" s="20" t="n">
        <v>1340</v>
      </c>
      <c r="D6" s="20" t="n">
        <v>4620</v>
      </c>
      <c r="E6" s="20" t="n">
        <v>4600</v>
      </c>
    </row>
    <row r="7">
      <c r="A7" s="17" t="inlineStr">
        <is>
          <t>Aug 2024</t>
        </is>
      </c>
      <c r="B7" s="18" t="n">
        <v>1150</v>
      </c>
      <c r="C7" s="18" t="n">
        <v>1180</v>
      </c>
      <c r="D7" s="18" t="n">
        <v>5800</v>
      </c>
      <c r="E7" s="18" t="n">
        <v>5750</v>
      </c>
    </row>
    <row r="8">
      <c r="A8" s="19" t="inlineStr">
        <is>
          <t>Sep 2024</t>
        </is>
      </c>
      <c r="B8" s="20" t="n">
        <v>1150</v>
      </c>
      <c r="C8" s="20" t="n">
        <v>1290</v>
      </c>
      <c r="D8" s="20" t="n">
        <v>7090</v>
      </c>
      <c r="E8" s="20" t="n">
        <v>6900</v>
      </c>
    </row>
    <row r="9">
      <c r="A9" s="17" t="inlineStr">
        <is>
          <t>Oct 2024</t>
        </is>
      </c>
      <c r="B9" s="18" t="n">
        <v>1150</v>
      </c>
      <c r="C9" s="18" t="n">
        <v>1410</v>
      </c>
      <c r="D9" s="18" t="n">
        <v>8500</v>
      </c>
      <c r="E9" s="18" t="n">
        <v>8050</v>
      </c>
    </row>
    <row r="10">
      <c r="A10" s="19" t="inlineStr">
        <is>
          <t>Nov 2024</t>
        </is>
      </c>
      <c r="B10" s="20" t="n">
        <v>1150</v>
      </c>
      <c r="C10" s="20" t="n">
        <v>1560</v>
      </c>
      <c r="D10" s="20" t="n">
        <v>10060</v>
      </c>
      <c r="E10" s="20" t="n">
        <v>9200</v>
      </c>
    </row>
    <row r="11">
      <c r="A11" s="17" t="inlineStr">
        <is>
          <t>Dec 2024</t>
        </is>
      </c>
      <c r="B11" s="18" t="n">
        <v>1150</v>
      </c>
      <c r="C11" s="18" t="n">
        <v>1490</v>
      </c>
      <c r="D11" s="18" t="n">
        <v>11550</v>
      </c>
      <c r="E11" s="18" t="n">
        <v>10350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2026-04-15T11:27:25Z</dcterms:created>
  <dcterms:modified xmlns:dcterms="http://purl.org/dc/terms/" xmlns:xsi="http://www.w3.org/2001/XMLSchema-instance" xsi:type="dcterms:W3CDTF">2026-04-15T11:27:25Z</dcterms:modified>
</cp:coreProperties>
</file>