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2783654\Downloads\group_1\group_1\level_2\card 1\"/>
    </mc:Choice>
  </mc:AlternateContent>
  <xr:revisionPtr revIDLastSave="0" documentId="13_ncr:1_{1F147D24-9AC7-4468-ABCF-0CD52B01C40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TE Utilisation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" i="1"/>
  <c r="G20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" i="1"/>
</calcChain>
</file>

<file path=xl/sharedStrings.xml><?xml version="1.0" encoding="utf-8"?>
<sst xmlns="http://schemas.openxmlformats.org/spreadsheetml/2006/main" count="92" uniqueCount="60">
  <si>
    <t>Employee ID</t>
  </si>
  <si>
    <t>Employee Name</t>
  </si>
  <si>
    <t>Grade</t>
  </si>
  <si>
    <t>Team</t>
  </si>
  <si>
    <t>Contracted Hours</t>
  </si>
  <si>
    <t>Hours Logged</t>
  </si>
  <si>
    <t>Billing Rate (£/hr)</t>
  </si>
  <si>
    <t>Calculated Cost (£)</t>
  </si>
  <si>
    <t>Notes</t>
  </si>
  <si>
    <t>CL-20001</t>
  </si>
  <si>
    <t>Aisha Rahman</t>
  </si>
  <si>
    <t>Analyst</t>
  </si>
  <si>
    <t>Cloud Engineering</t>
  </si>
  <si>
    <t>CL-20002</t>
  </si>
  <si>
    <t>Rohan Mehta</t>
  </si>
  <si>
    <t>Senior Analyst</t>
  </si>
  <si>
    <t>Overtime logged</t>
  </si>
  <si>
    <t>CL-20003</t>
  </si>
  <si>
    <t>Priti Sharma</t>
  </si>
  <si>
    <t>DevOps &amp; Automation</t>
  </si>
  <si>
    <t>CL-20004</t>
  </si>
  <si>
    <t>Vikram Nair</t>
  </si>
  <si>
    <t>Associate Director</t>
  </si>
  <si>
    <t>CL-20005</t>
  </si>
  <si>
    <t>Leela Patel</t>
  </si>
  <si>
    <t>Cloud Architecture</t>
  </si>
  <si>
    <t>CL-20006</t>
  </si>
  <si>
    <t>Sanjay Kapoor</t>
  </si>
  <si>
    <t>CL-20007</t>
  </si>
  <si>
    <t>Nadia Hussain</t>
  </si>
  <si>
    <t>Security &amp; Compliance</t>
  </si>
  <si>
    <t>Reduced hours — client site</t>
  </si>
  <si>
    <t>CL-20008</t>
  </si>
  <si>
    <t>Arjun Singh</t>
  </si>
  <si>
    <t>CL-20009</t>
  </si>
  <si>
    <t>Deepa Menon</t>
  </si>
  <si>
    <t>CL-20010</t>
  </si>
  <si>
    <t>Kiran Bose</t>
  </si>
  <si>
    <t>CL-20011</t>
  </si>
  <si>
    <t>Tara Iyer</t>
  </si>
  <si>
    <t>CL-20012</t>
  </si>
  <si>
    <t>Suresh Rao</t>
  </si>
  <si>
    <t>CL-20013</t>
  </si>
  <si>
    <t>Laleh Farahani</t>
  </si>
  <si>
    <t>CL-20014</t>
  </si>
  <si>
    <t>Dev Anand</t>
  </si>
  <si>
    <t>On approved leave — zero hours</t>
  </si>
  <si>
    <t>CL-20015</t>
  </si>
  <si>
    <t>Meera Joshi</t>
  </si>
  <si>
    <t>CL-20048</t>
  </si>
  <si>
    <t>Rahul Gupta</t>
  </si>
  <si>
    <t>CL-20051</t>
  </si>
  <si>
    <t>Sunita Verma</t>
  </si>
  <si>
    <t>CL-20099</t>
  </si>
  <si>
    <t>James O'Brien</t>
  </si>
  <si>
    <t>Contractor</t>
  </si>
  <si>
    <t>External contractor</t>
  </si>
  <si>
    <t>CL-20100</t>
  </si>
  <si>
    <t>Sarah Mitchell</t>
  </si>
  <si>
    <t>Facilitator note: Billing Rate and Calculated Cost columns are intentionally blank — participants must VLOOKUP from the Rate Card sheet and compute cost. IDs CL-20048 and CL-20051 are stored as TEXT — VLOOKUP will fail without IFERROR or TEXT() handling. IDs CL-20099 and CL-20100 are contractors absent from the Rate Card — expect errors. Row 15 (CL-20014, Dev Anand) has zero hours — cost should be £0, not an error.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</si>
</sst>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i/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1F2D3D"/>
      </patternFill>
    </fill>
    <fill>
      <patternFill patternType="solid">
        <fgColor rgb="FFF2F7FF"/>
      </patternFill>
    </fill>
    <fill>
      <patternFill patternType="solid">
        <fgColor rgb="FFFFFFFF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49" fontId="2" fillId="5" borderId="1" xfId="0" applyNumberFormat="1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 wrapText="1"/>
    </xf>
    <xf numFmtId="0" fontId="3" fillId="5" borderId="0" xfId="0" applyFont="1" applyFill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2783654\Downloads\group_1\group_1\level_2\card%201\CL_RateCard.xlsx" TargetMode="External"/><Relationship Id="rId1" Type="http://schemas.openxmlformats.org/officeDocument/2006/relationships/externalLinkPath" Target="CL_RateC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te Card"/>
    </sheetNames>
    <sheetDataSet>
      <sheetData sheetId="0">
        <row r="1">
          <cell r="A1" t="str">
            <v>Grade</v>
          </cell>
          <cell r="C1" t="str">
            <v>Daily Rate (£)</v>
          </cell>
        </row>
        <row r="2">
          <cell r="A2" t="str">
            <v>Analyst</v>
          </cell>
          <cell r="C2">
            <v>520</v>
          </cell>
        </row>
        <row r="3">
          <cell r="A3" t="str">
            <v>Senior Analyst</v>
          </cell>
          <cell r="C3">
            <v>760</v>
          </cell>
        </row>
        <row r="4">
          <cell r="A4" t="str">
            <v>Associate Director</v>
          </cell>
          <cell r="C4">
            <v>1040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topLeftCell="C3" workbookViewId="0">
      <selection activeCell="G2" sqref="G2"/>
    </sheetView>
  </sheetViews>
  <sheetFormatPr defaultRowHeight="14.5" x14ac:dyDescent="0.35"/>
  <cols>
    <col min="1" max="1" width="14" customWidth="1"/>
    <col min="2" max="3" width="22" customWidth="1"/>
    <col min="4" max="4" width="28" customWidth="1"/>
    <col min="5" max="5" width="18" customWidth="1"/>
    <col min="6" max="6" width="14" customWidth="1"/>
    <col min="7" max="8" width="18" customWidth="1"/>
    <col min="9" max="9" width="30" customWidth="1"/>
  </cols>
  <sheetData>
    <row r="1" spans="1:9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8" customHeight="1" x14ac:dyDescent="0.35">
      <c r="A2" s="2" t="s">
        <v>9</v>
      </c>
      <c r="B2" s="2" t="s">
        <v>10</v>
      </c>
      <c r="C2" s="2" t="s">
        <v>11</v>
      </c>
      <c r="D2" s="2" t="s">
        <v>12</v>
      </c>
      <c r="E2" s="2">
        <v>160</v>
      </c>
      <c r="F2" s="2">
        <v>152</v>
      </c>
      <c r="G2" s="2">
        <f>IFERROR(_xlfn.XLOOKUP(C2,'[1]Rate Card'!$A$1:$A$4,'[1]Rate Card'!$C$1:$C$4),"rate not found")</f>
        <v>520</v>
      </c>
      <c r="H2" s="2">
        <f>IFERROR(F2*G2,0)</f>
        <v>79040</v>
      </c>
      <c r="I2" s="2"/>
    </row>
    <row r="3" spans="1:9" ht="18" customHeight="1" x14ac:dyDescent="0.35">
      <c r="A3" s="3" t="s">
        <v>13</v>
      </c>
      <c r="B3" s="3" t="s">
        <v>14</v>
      </c>
      <c r="C3" s="3" t="s">
        <v>15</v>
      </c>
      <c r="D3" s="3" t="s">
        <v>12</v>
      </c>
      <c r="E3" s="3">
        <v>160</v>
      </c>
      <c r="F3" s="3">
        <v>168</v>
      </c>
      <c r="G3" s="2">
        <f>IFERROR(_xlfn.XLOOKUP(C3,'[1]Rate Card'!$A$1:$A$4,'[1]Rate Card'!$C$1:$C$4),"rate not found")</f>
        <v>760</v>
      </c>
      <c r="H3" s="2">
        <f t="shared" ref="H3:H20" si="0">IFERROR(F3*G3,0)</f>
        <v>127680</v>
      </c>
      <c r="I3" s="3" t="s">
        <v>16</v>
      </c>
    </row>
    <row r="4" spans="1:9" ht="18" customHeight="1" x14ac:dyDescent="0.35">
      <c r="A4" s="2" t="s">
        <v>17</v>
      </c>
      <c r="B4" s="2" t="s">
        <v>18</v>
      </c>
      <c r="C4" s="2" t="s">
        <v>11</v>
      </c>
      <c r="D4" s="2" t="s">
        <v>19</v>
      </c>
      <c r="E4" s="2">
        <v>160</v>
      </c>
      <c r="F4" s="2">
        <v>160</v>
      </c>
      <c r="G4" s="2">
        <f>IFERROR(_xlfn.XLOOKUP(C4,'[1]Rate Card'!$A$1:$A$4,'[1]Rate Card'!$C$1:$C$4),"rate not found")</f>
        <v>520</v>
      </c>
      <c r="H4" s="2">
        <f t="shared" si="0"/>
        <v>83200</v>
      </c>
      <c r="I4" s="2"/>
    </row>
    <row r="5" spans="1:9" ht="18" customHeight="1" x14ac:dyDescent="0.35">
      <c r="A5" s="3" t="s">
        <v>20</v>
      </c>
      <c r="B5" s="3" t="s">
        <v>21</v>
      </c>
      <c r="C5" s="3" t="s">
        <v>22</v>
      </c>
      <c r="D5" s="3" t="s">
        <v>19</v>
      </c>
      <c r="E5" s="3">
        <v>160</v>
      </c>
      <c r="F5" s="3">
        <v>144</v>
      </c>
      <c r="G5" s="2">
        <f>IFERROR(_xlfn.XLOOKUP(C5,'[1]Rate Card'!$A$1:$A$4,'[1]Rate Card'!$C$1:$C$4),"rate not found")</f>
        <v>1040</v>
      </c>
      <c r="H5" s="2">
        <f t="shared" si="0"/>
        <v>149760</v>
      </c>
      <c r="I5" s="3"/>
    </row>
    <row r="6" spans="1:9" ht="18" customHeight="1" x14ac:dyDescent="0.35">
      <c r="A6" s="2" t="s">
        <v>23</v>
      </c>
      <c r="B6" s="2" t="s">
        <v>24</v>
      </c>
      <c r="C6" s="2" t="s">
        <v>15</v>
      </c>
      <c r="D6" s="2" t="s">
        <v>25</v>
      </c>
      <c r="E6" s="2">
        <v>160</v>
      </c>
      <c r="F6" s="2">
        <v>156</v>
      </c>
      <c r="G6" s="2">
        <f>IFERROR(_xlfn.XLOOKUP(C6,'[1]Rate Card'!$A$1:$A$4,'[1]Rate Card'!$C$1:$C$4),"rate not found")</f>
        <v>760</v>
      </c>
      <c r="H6" s="2">
        <f t="shared" si="0"/>
        <v>118560</v>
      </c>
      <c r="I6" s="2"/>
    </row>
    <row r="7" spans="1:9" ht="18" customHeight="1" x14ac:dyDescent="0.35">
      <c r="A7" s="3" t="s">
        <v>26</v>
      </c>
      <c r="B7" s="3" t="s">
        <v>27</v>
      </c>
      <c r="C7" s="3" t="s">
        <v>22</v>
      </c>
      <c r="D7" s="3" t="s">
        <v>25</v>
      </c>
      <c r="E7" s="3">
        <v>160</v>
      </c>
      <c r="F7" s="3">
        <v>160</v>
      </c>
      <c r="G7" s="2">
        <f>IFERROR(_xlfn.XLOOKUP(C7,'[1]Rate Card'!$A$1:$A$4,'[1]Rate Card'!$C$1:$C$4),"rate not found")</f>
        <v>1040</v>
      </c>
      <c r="H7" s="2">
        <f t="shared" si="0"/>
        <v>166400</v>
      </c>
      <c r="I7" s="3"/>
    </row>
    <row r="8" spans="1:9" ht="18" customHeight="1" x14ac:dyDescent="0.35">
      <c r="A8" s="2" t="s">
        <v>28</v>
      </c>
      <c r="B8" s="2" t="s">
        <v>29</v>
      </c>
      <c r="C8" s="2" t="s">
        <v>11</v>
      </c>
      <c r="D8" s="2" t="s">
        <v>30</v>
      </c>
      <c r="E8" s="2">
        <v>160</v>
      </c>
      <c r="F8" s="2">
        <v>136</v>
      </c>
      <c r="G8" s="2">
        <f>IFERROR(_xlfn.XLOOKUP(C8,'[1]Rate Card'!$A$1:$A$4,'[1]Rate Card'!$C$1:$C$4),"rate not found")</f>
        <v>520</v>
      </c>
      <c r="H8" s="2">
        <f t="shared" si="0"/>
        <v>70720</v>
      </c>
      <c r="I8" s="2" t="s">
        <v>31</v>
      </c>
    </row>
    <row r="9" spans="1:9" ht="18" customHeight="1" x14ac:dyDescent="0.35">
      <c r="A9" s="3" t="s">
        <v>32</v>
      </c>
      <c r="B9" s="3" t="s">
        <v>33</v>
      </c>
      <c r="C9" s="3" t="s">
        <v>15</v>
      </c>
      <c r="D9" s="3" t="s">
        <v>30</v>
      </c>
      <c r="E9" s="3">
        <v>160</v>
      </c>
      <c r="F9" s="3">
        <v>160</v>
      </c>
      <c r="G9" s="2">
        <f>IFERROR(_xlfn.XLOOKUP(C9,'[1]Rate Card'!$A$1:$A$4,'[1]Rate Card'!$C$1:$C$4),"rate not found")</f>
        <v>760</v>
      </c>
      <c r="H9" s="2">
        <f t="shared" si="0"/>
        <v>121600</v>
      </c>
      <c r="I9" s="3"/>
    </row>
    <row r="10" spans="1:9" ht="18" customHeight="1" x14ac:dyDescent="0.35">
      <c r="A10" s="2" t="s">
        <v>34</v>
      </c>
      <c r="B10" s="2" t="s">
        <v>35</v>
      </c>
      <c r="C10" s="2" t="s">
        <v>11</v>
      </c>
      <c r="D10" s="2" t="s">
        <v>12</v>
      </c>
      <c r="E10" s="2">
        <v>160</v>
      </c>
      <c r="F10" s="2">
        <v>148</v>
      </c>
      <c r="G10" s="2">
        <f>IFERROR(_xlfn.XLOOKUP(C10,'[1]Rate Card'!$A$1:$A$4,'[1]Rate Card'!$C$1:$C$4),"rate not found")</f>
        <v>520</v>
      </c>
      <c r="H10" s="2">
        <f t="shared" si="0"/>
        <v>76960</v>
      </c>
      <c r="I10" s="2"/>
    </row>
    <row r="11" spans="1:9" ht="18" customHeight="1" x14ac:dyDescent="0.35">
      <c r="A11" s="3" t="s">
        <v>36</v>
      </c>
      <c r="B11" s="3" t="s">
        <v>37</v>
      </c>
      <c r="C11" s="3" t="s">
        <v>15</v>
      </c>
      <c r="D11" s="3" t="s">
        <v>19</v>
      </c>
      <c r="E11" s="3">
        <v>160</v>
      </c>
      <c r="F11" s="3">
        <v>164</v>
      </c>
      <c r="G11" s="2">
        <f>IFERROR(_xlfn.XLOOKUP(C11,'[1]Rate Card'!$A$1:$A$4,'[1]Rate Card'!$C$1:$C$4),"rate not found")</f>
        <v>760</v>
      </c>
      <c r="H11" s="2">
        <f t="shared" si="0"/>
        <v>124640</v>
      </c>
      <c r="I11" s="3" t="s">
        <v>16</v>
      </c>
    </row>
    <row r="12" spans="1:9" ht="18" customHeight="1" x14ac:dyDescent="0.35">
      <c r="A12" s="2" t="s">
        <v>38</v>
      </c>
      <c r="B12" s="2" t="s">
        <v>39</v>
      </c>
      <c r="C12" s="2" t="s">
        <v>22</v>
      </c>
      <c r="D12" s="2" t="s">
        <v>25</v>
      </c>
      <c r="E12" s="2">
        <v>160</v>
      </c>
      <c r="F12" s="2">
        <v>160</v>
      </c>
      <c r="G12" s="2">
        <f>IFERROR(_xlfn.XLOOKUP(C12,'[1]Rate Card'!$A$1:$A$4,'[1]Rate Card'!$C$1:$C$4),"rate not found")</f>
        <v>1040</v>
      </c>
      <c r="H12" s="2">
        <f t="shared" si="0"/>
        <v>166400</v>
      </c>
      <c r="I12" s="2"/>
    </row>
    <row r="13" spans="1:9" ht="18" customHeight="1" x14ac:dyDescent="0.35">
      <c r="A13" s="3" t="s">
        <v>40</v>
      </c>
      <c r="B13" s="3" t="s">
        <v>41</v>
      </c>
      <c r="C13" s="3" t="s">
        <v>11</v>
      </c>
      <c r="D13" s="3" t="s">
        <v>30</v>
      </c>
      <c r="E13" s="3">
        <v>160</v>
      </c>
      <c r="F13" s="3">
        <v>152</v>
      </c>
      <c r="G13" s="2">
        <f>IFERROR(_xlfn.XLOOKUP(C13,'[1]Rate Card'!$A$1:$A$4,'[1]Rate Card'!$C$1:$C$4),"rate not found")</f>
        <v>520</v>
      </c>
      <c r="H13" s="2">
        <f t="shared" si="0"/>
        <v>79040</v>
      </c>
      <c r="I13" s="3"/>
    </row>
    <row r="14" spans="1:9" ht="18" customHeight="1" x14ac:dyDescent="0.35">
      <c r="A14" s="2" t="s">
        <v>42</v>
      </c>
      <c r="B14" s="2" t="s">
        <v>43</v>
      </c>
      <c r="C14" s="2" t="s">
        <v>15</v>
      </c>
      <c r="D14" s="2" t="s">
        <v>12</v>
      </c>
      <c r="E14" s="2">
        <v>160</v>
      </c>
      <c r="F14" s="2">
        <v>140</v>
      </c>
      <c r="G14" s="2">
        <f>IFERROR(_xlfn.XLOOKUP(C14,'[1]Rate Card'!$A$1:$A$4,'[1]Rate Card'!$C$1:$C$4),"rate not found")</f>
        <v>760</v>
      </c>
      <c r="H14" s="2">
        <f t="shared" si="0"/>
        <v>106400</v>
      </c>
      <c r="I14" s="2"/>
    </row>
    <row r="15" spans="1:9" ht="18" customHeight="1" x14ac:dyDescent="0.35">
      <c r="A15" s="3" t="s">
        <v>44</v>
      </c>
      <c r="B15" s="3" t="s">
        <v>45</v>
      </c>
      <c r="C15" s="3" t="s">
        <v>11</v>
      </c>
      <c r="D15" s="3" t="s">
        <v>19</v>
      </c>
      <c r="E15" s="3">
        <v>160</v>
      </c>
      <c r="F15" s="3">
        <v>0</v>
      </c>
      <c r="G15" s="2">
        <f>IFERROR(_xlfn.XLOOKUP(C15,'[1]Rate Card'!$A$1:$A$4,'[1]Rate Card'!$C$1:$C$4),"rate not found")</f>
        <v>520</v>
      </c>
      <c r="H15" s="2">
        <f t="shared" si="0"/>
        <v>0</v>
      </c>
      <c r="I15" s="3" t="s">
        <v>46</v>
      </c>
    </row>
    <row r="16" spans="1:9" ht="18" customHeight="1" x14ac:dyDescent="0.35">
      <c r="A16" s="2" t="s">
        <v>47</v>
      </c>
      <c r="B16" s="2" t="s">
        <v>48</v>
      </c>
      <c r="C16" s="2" t="s">
        <v>22</v>
      </c>
      <c r="D16" s="2" t="s">
        <v>30</v>
      </c>
      <c r="E16" s="2">
        <v>160</v>
      </c>
      <c r="F16" s="2">
        <v>160</v>
      </c>
      <c r="G16" s="2">
        <f>IFERROR(_xlfn.XLOOKUP(C16,'[1]Rate Card'!$A$1:$A$4,'[1]Rate Card'!$C$1:$C$4),"rate not found")</f>
        <v>1040</v>
      </c>
      <c r="H16" s="2">
        <f t="shared" si="0"/>
        <v>166400</v>
      </c>
      <c r="I16" s="2"/>
    </row>
    <row r="17" spans="1:9" ht="18" customHeight="1" x14ac:dyDescent="0.35">
      <c r="A17" s="4" t="s">
        <v>49</v>
      </c>
      <c r="B17" s="3" t="s">
        <v>50</v>
      </c>
      <c r="C17" s="5" t="s">
        <v>15</v>
      </c>
      <c r="D17" s="3" t="s">
        <v>25</v>
      </c>
      <c r="E17" s="3">
        <v>160</v>
      </c>
      <c r="F17" s="3">
        <v>148</v>
      </c>
      <c r="G17" s="2">
        <f>IFERROR(_xlfn.XLOOKUP(C17,'[1]Rate Card'!$A$1:$A$4,'[1]Rate Card'!$C$1:$C$4),"rate not found")</f>
        <v>760</v>
      </c>
      <c r="H17" s="2">
        <f t="shared" si="0"/>
        <v>112480</v>
      </c>
      <c r="I17" s="3"/>
    </row>
    <row r="18" spans="1:9" ht="18" customHeight="1" x14ac:dyDescent="0.35">
      <c r="A18" s="4" t="s">
        <v>51</v>
      </c>
      <c r="B18" s="2" t="s">
        <v>52</v>
      </c>
      <c r="C18" s="5" t="s">
        <v>11</v>
      </c>
      <c r="D18" s="2" t="s">
        <v>12</v>
      </c>
      <c r="E18" s="2">
        <v>160</v>
      </c>
      <c r="F18" s="2">
        <v>152</v>
      </c>
      <c r="G18" s="2">
        <f>IFERROR(_xlfn.XLOOKUP(C18,'[1]Rate Card'!$A$1:$A$4,'[1]Rate Card'!$C$1:$C$4),"rate not found")</f>
        <v>520</v>
      </c>
      <c r="H18" s="2">
        <f t="shared" si="0"/>
        <v>79040</v>
      </c>
      <c r="I18" s="2"/>
    </row>
    <row r="19" spans="1:9" ht="18" customHeight="1" x14ac:dyDescent="0.35">
      <c r="A19" s="5" t="s">
        <v>53</v>
      </c>
      <c r="B19" s="3" t="s">
        <v>54</v>
      </c>
      <c r="C19" s="5" t="s">
        <v>55</v>
      </c>
      <c r="D19" s="3" t="s">
        <v>19</v>
      </c>
      <c r="E19" s="3">
        <v>160</v>
      </c>
      <c r="F19" s="3">
        <v>160</v>
      </c>
      <c r="G19" s="2" t="str">
        <f>IFERROR(_xlfn.XLOOKUP(C19,'[1]Rate Card'!$A$1:$A$4,'[1]Rate Card'!$C$1:$C$4),"rate not found")</f>
        <v>rate not found</v>
      </c>
      <c r="H19" s="2">
        <f t="shared" si="0"/>
        <v>0</v>
      </c>
      <c r="I19" s="3" t="s">
        <v>56</v>
      </c>
    </row>
    <row r="20" spans="1:9" ht="18" customHeight="1" x14ac:dyDescent="0.35">
      <c r="A20" s="5" t="s">
        <v>57</v>
      </c>
      <c r="B20" s="2" t="s">
        <v>58</v>
      </c>
      <c r="C20" s="5" t="s">
        <v>55</v>
      </c>
      <c r="D20" s="2" t="s">
        <v>25</v>
      </c>
      <c r="E20" s="2">
        <v>160</v>
      </c>
      <c r="F20" s="2">
        <v>144</v>
      </c>
      <c r="G20" s="2" t="str">
        <f>IFERROR(_xlfn.XLOOKUP(C20,'[1]Rate Card'!$A$1:$A$4,'[1]Rate Card'!$C$1:$C$4),"rate not found")</f>
        <v>rate not found</v>
      </c>
      <c r="H20" s="2">
        <f t="shared" si="0"/>
        <v>0</v>
      </c>
      <c r="I20" s="2" t="s">
        <v>56</v>
      </c>
    </row>
    <row r="21" spans="1:9" ht="60" customHeight="1" x14ac:dyDescent="0.35">
      <c r="A21" s="6" t="s">
        <v>59</v>
      </c>
      <c r="B21" s="7"/>
      <c r="C21" s="7"/>
      <c r="D21" s="7"/>
      <c r="E21" s="7"/>
      <c r="F21" s="7"/>
      <c r="G21" s="7"/>
      <c r="H21" s="7"/>
      <c r="I21" s="7"/>
    </row>
  </sheetData>
  <mergeCells count="1">
    <mergeCell ref="A21:I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FTE Utilisation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Suresh Kumar K</cp:lastModifiedBy>
  <dcterms:created xsi:type="dcterms:W3CDTF">2026-04-14T06:50:29Z</dcterms:created>
  <dcterms:modified xsi:type="dcterms:W3CDTF">2026-04-15T07:04:04Z</dcterms:modified>
</cp:coreProperties>
</file>