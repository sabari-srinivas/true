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Log" sheetId="1" state="visible" r:id="rId3"/>
    <sheet name="SLARefer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<sst xmlns="http://schemas.openxmlformats.org/spreadsheetml/2006/main" count="69" uniqueCount="43">
  <si>
    <t xml:space="preserve">Ticket_ID</t>
  </si>
  <si>
    <t xml:space="preserve">Feature_Summary</t>
  </si>
  <si>
    <t xml:space="preserve">Category</t>
  </si>
  <si>
    <t xml:space="preserve">Team</t>
  </si>
  <si>
    <t xml:space="preserve">Delay_Days</t>
  </si>
  <si>
    <t xml:space="preserve">SLA_Status</t>
  </si>
  <si>
    <t xml:space="preserve">Penalty_INR</t>
  </si>
  <si>
    <t xml:space="preserve">T-001</t>
  </si>
  <si>
    <t xml:space="preserve">PRD Review &amp; Sign-off</t>
  </si>
  <si>
    <t xml:space="preserve">P1</t>
  </si>
  <si>
    <t xml:space="preserve">Discovery</t>
  </si>
  <si>
    <t xml:space="preserve">T-002</t>
  </si>
  <si>
    <t xml:space="preserve">Sprint Planning Facilitation</t>
  </si>
  <si>
    <t xml:space="preserve">P2</t>
  </si>
  <si>
    <t xml:space="preserve">Delivery</t>
  </si>
  <si>
    <t xml:space="preserve">T-003</t>
  </si>
  <si>
    <t xml:space="preserve">Compliance Policy Documentation</t>
  </si>
  <si>
    <t xml:space="preserve">P3</t>
  </si>
  <si>
    <t xml:space="preserve">Governance</t>
  </si>
  <si>
    <t xml:space="preserve">T-004</t>
  </si>
  <si>
    <t xml:space="preserve">Roadmap Prioritisation Workshop</t>
  </si>
  <si>
    <t xml:space="preserve">T-005</t>
  </si>
  <si>
    <t xml:space="preserve">Backlog Grooming &amp; Refinement</t>
  </si>
  <si>
    <t xml:space="preserve">T-006</t>
  </si>
  <si>
    <t xml:space="preserve">Release Sign-off Review</t>
  </si>
  <si>
    <t xml:space="preserve">T-007</t>
  </si>
  <si>
    <t xml:space="preserve">User Research Synthesis Report</t>
  </si>
  <si>
    <t xml:space="preserve">T-008</t>
  </si>
  <si>
    <t xml:space="preserve">BRD Finalisation &amp; Approval</t>
  </si>
  <si>
    <t xml:space="preserve">T-009</t>
  </si>
  <si>
    <t xml:space="preserve">Sprint Retrospective Analysis</t>
  </si>
  <si>
    <t xml:space="preserve">T-010</t>
  </si>
  <si>
    <t xml:space="preserve">Market Sizing Analysis</t>
  </si>
  <si>
    <t xml:space="preserve">T-011</t>
  </si>
  <si>
    <t xml:space="preserve">Feature Feasibility Assessment</t>
  </si>
  <si>
    <t xml:space="preserve">T-012</t>
  </si>
  <si>
    <t xml:space="preserve">Regulatory Change Documentation</t>
  </si>
  <si>
    <t xml:space="preserve">FACILITATOR NOTE:
Trap (a) Boundary rows T-001 (P1, Delay=2=Threshold), T-003 (P3, Delay=10=Threshold), T-007 (P2, Delay=5=Threshold): delay EQUALS threshold → must return 'Met' not 'Breach'. IF condition must use &lt;= (less-than-or-equal). Penalty must be 0, not blank.
Trap (b) All Met rows: Penalty_INR must show 0, not blank. The IF false-branch must explicitly return 0: IF(F2="Breach",...,0).
Trap (c) SUMIF team totals in SLAReference must use absolute references ($D$2:$D$13 and $G$2:$G$13) to prevent range shift when copying across teams.</t>
  </si>
  <si>
    <t xml:space="preserve">SLA_Threshold_Days</t>
  </si>
  <si>
    <t xml:space="preserve">Penalty_Per_Day_INR</t>
  </si>
  <si>
    <t xml:space="preserve">Team Penalty Summary (SUMIF)</t>
  </si>
  <si>
    <t xml:space="preserve">Total_Penalty_INR</t>
  </si>
  <si>
    <t xml:space="preserve">FACILITATOR NOTE — Expected SUMIF output:
Discovery: ₹5,000 (T-004 breach only: 1 day × ₹5,000)
Delivery: ₹18,000 (T-002 ₹2K + T-009 ₹6K + T-011 ₹10K)
Governance: ₹2,000 (T-008 breach only: 2 days × ₹1,000)
Boundary rows T-001, T-003, T-007 → Penalty = 0. SUMIF absolute refs required: $D$2:$D$13 and $G$2:$G$13.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</si>
</sst>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F4F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2F7FF"/>
        <bgColor rgb="FFFFFFFF"/>
      </patternFill>
    </fill>
    <fill>
      <patternFill patternType="solid">
        <fgColor rgb="FFFFF2CC"/>
        <bgColor rgb="FFF2F7FF"/>
      </patternFill>
    </fill>
    <fill>
      <patternFill patternType="solid">
        <fgColor rgb="FFFFFFFF"/>
        <bgColor rgb="FFF2F7FF"/>
      </patternFill>
    </fill>
    <fill>
      <patternFill patternType="solid">
        <fgColor rgb="FFFFD966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7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F4F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10"/>
    <col collapsed="false" customWidth="true" hidden="false" outlineLevel="0" max="6" min="4" style="0" width="13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2</v>
      </c>
      <c r="F2" s="2" t="str">
        <f aca="false">IF(E2&lt;=VLOOKUP(C2,SLAReference!$A$2:$C$4,2,FALSE()),"Met","Breach")</f>
        <v>Met</v>
      </c>
      <c r="G2" s="2" t="n">
        <f aca="false">IF(F2="Breach",(E2-VLOOKUP(C2,SLAReference!$A$2:$C$4,2,FALSE()))*VLOOKUP(C2,SLAReference!$A$2:$C$4,3,FALSE()),0)</f>
        <v>0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n">
        <v>6</v>
      </c>
      <c r="F3" s="4" t="str">
        <f aca="false">IF(E3&lt;=VLOOKUP(C3,SLAReference!$A$2:$C$4,2,FALSE()),"Met","Breach")</f>
        <v>Breach</v>
      </c>
      <c r="G3" s="4" t="n">
        <f aca="false">IF(F3="Breach",(E3-VLOOKUP(C3,SLAReference!$A$2:$C$4,2,FALSE()))*VLOOKUP(C3,SLAReference!$A$2:$C$4,3,FALSE()),0)</f>
        <v>2000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18</v>
      </c>
      <c r="E4" s="3" t="n">
        <v>10</v>
      </c>
      <c r="F4" s="2" t="str">
        <f aca="false">IF(E4&lt;=VLOOKUP(C4,SLAReference!$A$2:$C$4,2,FALSE()),"Met","Breach")</f>
        <v>Met</v>
      </c>
      <c r="G4" s="2" t="n">
        <f aca="false">IF(F4="Breach",(E4-VLOOKUP(C4,SLAReference!$A$2:$C$4,2,FALSE()))*VLOOKUP(C4,SLAReference!$A$2:$C$4,3,FALSE()),0)</f>
        <v>0</v>
      </c>
    </row>
    <row r="5" customFormat="false" ht="15" hidden="false" customHeight="false" outlineLevel="0" collapsed="false">
      <c r="A5" s="4" t="s">
        <v>19</v>
      </c>
      <c r="B5" s="4" t="s">
        <v>20</v>
      </c>
      <c r="C5" s="4" t="s">
        <v>9</v>
      </c>
      <c r="D5" s="4" t="s">
        <v>10</v>
      </c>
      <c r="E5" s="4" t="n">
        <v>3</v>
      </c>
      <c r="F5" s="4" t="str">
        <f aca="false">IF(E5&lt;=VLOOKUP(C5,SLAReference!$A$2:$C$4,2,FALSE()),"Met","Breach")</f>
        <v>Breach</v>
      </c>
      <c r="G5" s="4" t="n">
        <f aca="false">IF(F5="Breach",(E5-VLOOKUP(C5,SLAReference!$A$2:$C$4,2,FALSE()))*VLOOKUP(C5,SLAReference!$A$2:$C$4,3,FALSE()),0)</f>
        <v>5000</v>
      </c>
    </row>
    <row r="6" customFormat="false" ht="15" hidden="false" customHeight="false" outlineLevel="0" collapsed="false">
      <c r="A6" s="2" t="s">
        <v>21</v>
      </c>
      <c r="B6" s="2" t="s">
        <v>22</v>
      </c>
      <c r="C6" s="2" t="s">
        <v>13</v>
      </c>
      <c r="D6" s="2" t="s">
        <v>14</v>
      </c>
      <c r="E6" s="2" t="n">
        <v>4</v>
      </c>
      <c r="F6" s="2" t="str">
        <f aca="false">IF(E6&lt;=VLOOKUP(C6,SLAReference!$A$2:$C$4,2,FALSE()),"Met","Breach")</f>
        <v>Met</v>
      </c>
      <c r="G6" s="2" t="n">
        <f aca="false">IF(F6="Breach",(E6-VLOOKUP(C6,SLAReference!$A$2:$C$4,2,FALSE()))*VLOOKUP(C6,SLAReference!$A$2:$C$4,3,FALSE()),0)</f>
        <v>0</v>
      </c>
    </row>
    <row r="7" customFormat="false" ht="15" hidden="false" customHeight="false" outlineLevel="0" collapsed="false">
      <c r="A7" s="4" t="s">
        <v>23</v>
      </c>
      <c r="B7" s="4" t="s">
        <v>24</v>
      </c>
      <c r="C7" s="4" t="s">
        <v>9</v>
      </c>
      <c r="D7" s="4" t="s">
        <v>18</v>
      </c>
      <c r="E7" s="4" t="n">
        <v>1</v>
      </c>
      <c r="F7" s="4" t="str">
        <f aca="false">IF(E7&lt;=VLOOKUP(C7,SLAReference!$A$2:$C$4,2,FALSE()),"Met","Breach")</f>
        <v>Met</v>
      </c>
      <c r="G7" s="4" t="n">
        <f aca="false">IF(F7="Breach",(E7-VLOOKUP(C7,SLAReference!$A$2:$C$4,2,FALSE()))*VLOOKUP(C7,SLAReference!$A$2:$C$4,3,FALSE()),0)</f>
        <v>0</v>
      </c>
    </row>
    <row r="8" customFormat="false" ht="15" hidden="false" customHeight="false" outlineLevel="0" collapsed="false">
      <c r="A8" s="2" t="s">
        <v>25</v>
      </c>
      <c r="B8" s="2" t="s">
        <v>26</v>
      </c>
      <c r="C8" s="2" t="s">
        <v>13</v>
      </c>
      <c r="D8" s="2" t="s">
        <v>10</v>
      </c>
      <c r="E8" s="3" t="n">
        <v>5</v>
      </c>
      <c r="F8" s="2" t="str">
        <f aca="false">IF(E8&lt;=VLOOKUP(C8,SLAReference!$A$2:$C$4,2,FALSE()),"Met","Breach")</f>
        <v>Met</v>
      </c>
      <c r="G8" s="2" t="n">
        <f aca="false">IF(F8="Breach",(E8-VLOOKUP(C8,SLAReference!$A$2:$C$4,2,FALSE()))*VLOOKUP(C8,SLAReference!$A$2:$C$4,3,FALSE()),0)</f>
        <v>0</v>
      </c>
    </row>
    <row r="9" customFormat="false" ht="15" hidden="false" customHeight="false" outlineLevel="0" collapsed="false">
      <c r="A9" s="4" t="s">
        <v>27</v>
      </c>
      <c r="B9" s="4" t="s">
        <v>28</v>
      </c>
      <c r="C9" s="4" t="s">
        <v>17</v>
      </c>
      <c r="D9" s="4" t="s">
        <v>18</v>
      </c>
      <c r="E9" s="4" t="n">
        <v>12</v>
      </c>
      <c r="F9" s="4" t="str">
        <f aca="false">IF(E9&lt;=VLOOKUP(C9,SLAReference!$A$2:$C$4,2,FALSE()),"Met","Breach")</f>
        <v>Breach</v>
      </c>
      <c r="G9" s="4" t="n">
        <f aca="false">IF(F9="Breach",(E9-VLOOKUP(C9,SLAReference!$A$2:$C$4,2,FALSE()))*VLOOKUP(C9,SLAReference!$A$2:$C$4,3,FALSE()),0)</f>
        <v>2000</v>
      </c>
    </row>
    <row r="10" customFormat="false" ht="15" hidden="false" customHeight="false" outlineLevel="0" collapsed="false">
      <c r="A10" s="2" t="s">
        <v>29</v>
      </c>
      <c r="B10" s="2" t="s">
        <v>30</v>
      </c>
      <c r="C10" s="2" t="s">
        <v>13</v>
      </c>
      <c r="D10" s="2" t="s">
        <v>14</v>
      </c>
      <c r="E10" s="2" t="n">
        <v>8</v>
      </c>
      <c r="F10" s="2" t="str">
        <f aca="false">IF(E10&lt;=VLOOKUP(C10,SLAReference!$A$2:$C$4,2,FALSE()),"Met","Breach")</f>
        <v>Breach</v>
      </c>
      <c r="G10" s="2" t="n">
        <f aca="false">IF(F10="Breach",(E10-VLOOKUP(C10,SLAReference!$A$2:$C$4,2,FALSE()))*VLOOKUP(C10,SLAReference!$A$2:$C$4,3,FALSE()),0)</f>
        <v>6000</v>
      </c>
    </row>
    <row r="11" customFormat="false" ht="15" hidden="false" customHeight="false" outlineLevel="0" collapsed="false">
      <c r="A11" s="4" t="s">
        <v>31</v>
      </c>
      <c r="B11" s="4" t="s">
        <v>32</v>
      </c>
      <c r="C11" s="4" t="s">
        <v>17</v>
      </c>
      <c r="D11" s="4" t="s">
        <v>10</v>
      </c>
      <c r="E11" s="4" t="n">
        <v>5</v>
      </c>
      <c r="F11" s="4" t="str">
        <f aca="false">IF(E11&lt;=VLOOKUP(C11,SLAReference!$A$2:$C$4,2,FALSE()),"Met","Breach")</f>
        <v>Met</v>
      </c>
      <c r="G11" s="4" t="n">
        <f aca="false">IF(F11="Breach",(E11-VLOOKUP(C11,SLAReference!$A$2:$C$4,2,FALSE()))*VLOOKUP(C11,SLAReference!$A$2:$C$4,3,FALSE()),0)</f>
        <v>0</v>
      </c>
    </row>
    <row r="12" customFormat="false" ht="15" hidden="false" customHeight="false" outlineLevel="0" collapsed="false">
      <c r="A12" s="2" t="s">
        <v>33</v>
      </c>
      <c r="B12" s="2" t="s">
        <v>34</v>
      </c>
      <c r="C12" s="2" t="s">
        <v>9</v>
      </c>
      <c r="D12" s="2" t="s">
        <v>14</v>
      </c>
      <c r="E12" s="2" t="n">
        <v>4</v>
      </c>
      <c r="F12" s="2" t="str">
        <f aca="false">IF(E12&lt;=VLOOKUP(C12,SLAReference!$A$2:$C$4,2,FALSE()),"Met","Breach")</f>
        <v>Breach</v>
      </c>
      <c r="G12" s="2" t="n">
        <f aca="false">IF(F12="Breach",(E12-VLOOKUP(C12,SLAReference!$A$2:$C$4,2,FALSE()))*VLOOKUP(C12,SLAReference!$A$2:$C$4,3,FALSE()),0)</f>
        <v>10000</v>
      </c>
    </row>
    <row r="13" customFormat="false" ht="15" hidden="false" customHeight="false" outlineLevel="0" collapsed="false">
      <c r="A13" s="4" t="s">
        <v>35</v>
      </c>
      <c r="B13" s="4" t="s">
        <v>36</v>
      </c>
      <c r="C13" s="4" t="s">
        <v>17</v>
      </c>
      <c r="D13" s="4" t="s">
        <v>18</v>
      </c>
      <c r="E13" s="4" t="n">
        <v>7</v>
      </c>
      <c r="F13" s="4" t="str">
        <f aca="false">IF(E13&lt;=VLOOKUP(C13,SLAReference!$A$2:$C$4,2,FALSE()),"Met","Breach")</f>
        <v>Met</v>
      </c>
      <c r="G13" s="4" t="n">
        <f aca="false">IF(F13="Breach",(E13-VLOOKUP(C13,SLAReference!$A$2:$C$4,2,FALSE()))*VLOOKUP(C13,SLAReference!$A$2:$C$4,3,FALSE()),0)</f>
        <v>0</v>
      </c>
    </row>
    <row r="15" customFormat="false" ht="109.5" hidden="false" customHeight="true" outlineLevel="0" collapsed="false">
      <c r="A15" s="5" t="s">
        <v>37</v>
      </c>
      <c r="B15" s="5"/>
      <c r="C15" s="5"/>
      <c r="D15" s="5"/>
      <c r="E15" s="5"/>
      <c r="F15" s="5"/>
      <c r="G15" s="5"/>
    </row>
  </sheetData>
  <mergeCells count="1"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</cols>
  <sheetData>
    <row r="1" customFormat="false" ht="27.75" hidden="false" customHeight="true" outlineLevel="0" collapsed="false">
      <c r="A1" s="1" t="s">
        <v>2</v>
      </c>
      <c r="B1" s="1" t="s">
        <v>38</v>
      </c>
      <c r="C1" s="1" t="s">
        <v>39</v>
      </c>
    </row>
    <row r="2" customFormat="false" ht="15" hidden="false" customHeight="false" outlineLevel="0" collapsed="false">
      <c r="A2" s="2" t="s">
        <v>9</v>
      </c>
      <c r="B2" s="2" t="n">
        <v>2</v>
      </c>
      <c r="C2" s="2" t="n">
        <v>5000</v>
      </c>
    </row>
    <row r="3" customFormat="false" ht="15" hidden="false" customHeight="false" outlineLevel="0" collapsed="false">
      <c r="A3" s="4" t="s">
        <v>13</v>
      </c>
      <c r="B3" s="4" t="n">
        <v>5</v>
      </c>
      <c r="C3" s="4" t="n">
        <v>2000</v>
      </c>
    </row>
    <row r="4" customFormat="false" ht="15" hidden="false" customHeight="false" outlineLevel="0" collapsed="false">
      <c r="A4" s="2" t="s">
        <v>17</v>
      </c>
      <c r="B4" s="2" t="n">
        <v>10</v>
      </c>
      <c r="C4" s="2" t="n">
        <v>1000</v>
      </c>
    </row>
    <row r="6" customFormat="false" ht="24" hidden="false" customHeight="true" outlineLevel="0" collapsed="false">
      <c r="A6" s="6" t="s">
        <v>40</v>
      </c>
      <c r="B6" s="6"/>
      <c r="C6" s="6"/>
    </row>
    <row r="7" customFormat="false" ht="27.75" hidden="false" customHeight="true" outlineLevel="0" collapsed="false">
      <c r="A7" s="1" t="s">
        <v>3</v>
      </c>
      <c r="B7" s="1" t="s">
        <v>41</v>
      </c>
    </row>
    <row r="8" customFormat="false" ht="15" hidden="false" customHeight="false" outlineLevel="0" collapsed="false">
      <c r="A8" s="2" t="s">
        <v>10</v>
      </c>
      <c r="B8" s="2" t="n">
        <f aca="false">SUMIF(TicketLog!$D$2:$D$13,"Discovery",TicketLog!$G$2:$G$13)</f>
        <v>5000</v>
      </c>
    </row>
    <row r="9" customFormat="false" ht="15" hidden="false" customHeight="false" outlineLevel="0" collapsed="false">
      <c r="A9" s="4" t="s">
        <v>14</v>
      </c>
      <c r="B9" s="4" t="n">
        <f aca="false">SUMIF(TicketLog!$D$2:$D$13,"Delivery",TicketLog!$G$2:$G$13)</f>
        <v>18000</v>
      </c>
    </row>
    <row r="10" customFormat="false" ht="15" hidden="false" customHeight="false" outlineLevel="0" collapsed="false">
      <c r="A10" s="2" t="s">
        <v>18</v>
      </c>
      <c r="B10" s="2" t="n">
        <f aca="false">SUMIF(TicketLog!$D$2:$D$13,"Governance",TicketLog!$G$2:$G$13)</f>
        <v>2000</v>
      </c>
    </row>
    <row r="13" customFormat="false" ht="90" hidden="false" customHeight="true" outlineLevel="0" collapsed="false">
      <c r="A13" s="5" t="s">
        <v>42</v>
      </c>
      <c r="B13" s="5"/>
      <c r="C13" s="5"/>
    </row>
  </sheetData>
  <mergeCells count="2">
    <mergeCell ref="A6:C6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2026-04-13T13:53:56Z</dcterms:created>
  <dc:creator>openpyxl</dc:creator>
  <dc:description/>
  <dc:language>en-US</dc:language>
  <cp:lastModifiedBy/>
  <dcterms:modified xsi:type="dcterms:W3CDTF">2026-04-13T13:53:56Z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