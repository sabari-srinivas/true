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Allocation" sheetId="1" state="visible" r:id="rId3"/>
    <sheet name="ProcessRequire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<sst xmlns="http://schemas.openxmlformats.org/spreadsheetml/2006/main" count="186" uniqueCount="68">
  <si>
    <t xml:space="preserve">Staff_ID</t>
  </si>
  <si>
    <t xml:space="preserve">Staff_Name</t>
  </si>
  <si>
    <t xml:space="preserve">Process_Code</t>
  </si>
  <si>
    <t xml:space="preserve">Grade</t>
  </si>
  <si>
    <t xml:space="preserve">PM-001</t>
  </si>
  <si>
    <t xml:space="preserve">Aarav Sharma</t>
  </si>
  <si>
    <t xml:space="preserve">DISC</t>
  </si>
  <si>
    <t xml:space="preserve">L1</t>
  </si>
  <si>
    <t xml:space="preserve">PM-002</t>
  </si>
  <si>
    <t xml:space="preserve">Priya Mehta</t>
  </si>
  <si>
    <t xml:space="preserve">PM-003</t>
  </si>
  <si>
    <t xml:space="preserve">Rohan Iyer</t>
  </si>
  <si>
    <t xml:space="preserve">L2</t>
  </si>
  <si>
    <t xml:space="preserve">PM-004</t>
  </si>
  <si>
    <t xml:space="preserve">Sneha Patel</t>
  </si>
  <si>
    <t xml:space="preserve">PM-005</t>
  </si>
  <si>
    <t xml:space="preserve">Arjun Nair</t>
  </si>
  <si>
    <t xml:space="preserve">L3</t>
  </si>
  <si>
    <t xml:space="preserve">PM-006</t>
  </si>
  <si>
    <t xml:space="preserve">Divya Krishnan</t>
  </si>
  <si>
    <t xml:space="preserve">L4</t>
  </si>
  <si>
    <t xml:space="preserve">PM-007</t>
  </si>
  <si>
    <t xml:space="preserve">Karthik Raj</t>
  </si>
  <si>
    <t xml:space="preserve">ROAD</t>
  </si>
  <si>
    <t xml:space="preserve">PM-008</t>
  </si>
  <si>
    <t xml:space="preserve">Nisha Gupta</t>
  </si>
  <si>
    <t xml:space="preserve">PM-009</t>
  </si>
  <si>
    <t xml:space="preserve">Vikram Singh</t>
  </si>
  <si>
    <t xml:space="preserve">PM-010</t>
  </si>
  <si>
    <t xml:space="preserve">Ananya Bose</t>
  </si>
  <si>
    <t xml:space="preserve">PM-011</t>
  </si>
  <si>
    <t xml:space="preserve">Rahul Kapoor</t>
  </si>
  <si>
    <t xml:space="preserve">PM-012</t>
  </si>
  <si>
    <t xml:space="preserve">Supriya Das</t>
  </si>
  <si>
    <t xml:space="preserve">DLVR</t>
  </si>
  <si>
    <t xml:space="preserve">PM-013</t>
  </si>
  <si>
    <t xml:space="preserve">Kavitha Iyer</t>
  </si>
  <si>
    <t xml:space="preserve">PM-014</t>
  </si>
  <si>
    <t xml:space="preserve">Mohan Kumar</t>
  </si>
  <si>
    <t xml:space="preserve">PM-015</t>
  </si>
  <si>
    <t xml:space="preserve">Neha Joshi</t>
  </si>
  <si>
    <t xml:space="preserve">PM-016</t>
  </si>
  <si>
    <t xml:space="preserve">Preethi Nair</t>
  </si>
  <si>
    <t xml:space="preserve">PM-017</t>
  </si>
  <si>
    <t xml:space="preserve">Ravi Shankar</t>
  </si>
  <si>
    <t xml:space="preserve">PM-018</t>
  </si>
  <si>
    <t xml:space="preserve">Bhavna Patel</t>
  </si>
  <si>
    <t xml:space="preserve">GOVN</t>
  </si>
  <si>
    <t xml:space="preserve">PM-019</t>
  </si>
  <si>
    <t xml:space="preserve">Chetan Desai</t>
  </si>
  <si>
    <t xml:space="preserve">PM-020</t>
  </si>
  <si>
    <t xml:space="preserve">Divyesh Mehta</t>
  </si>
  <si>
    <t xml:space="preserve">FACILITATOR NOTE:
Trap (a): There is NO row with Process_Code='DLVR' AND Grade='L4'. A single-key VLOOKUP on Process_Code alone would incorrectly match DLVR-L1/L2/L3 rows. COUNTIFS with BOTH keys correctly returns 0 for DLVR-L4.
Trap (b): DLVR-L4 allocated=0. Nested IF must check =0 FIRST ('Not Staffed') before the Understaffed branch. Wrong IF order gives 'Understaffed' instead of 'Not Staffed'.
Trap (c): DISC-L1 (2 staff) and DLVR-L2 (2 staff) exactly meet requirements. These must be 'Fully Staffed' with blank Gap and excluded from the gap report.</t>
  </si>
  <si>
    <t xml:space="preserve">Process_Name</t>
  </si>
  <si>
    <t xml:space="preserve">Required_FTE</t>
  </si>
  <si>
    <t xml:space="preserve">Allocated_FTE</t>
  </si>
  <si>
    <t xml:space="preserve">Status</t>
  </si>
  <si>
    <t xml:space="preserve">Gap</t>
  </si>
  <si>
    <t xml:space="preserve">Product Discovery</t>
  </si>
  <si>
    <t xml:space="preserve">Roadmap Planning</t>
  </si>
  <si>
    <t xml:space="preserve">Feature Delivery</t>
  </si>
  <si>
    <t xml:space="preserve">Governance</t>
  </si>
  <si>
    <t xml:space="preserve">GAP REPORT — Not Staffed first; then Understaffed by |Gap| descending</t>
  </si>
  <si>
    <t xml:space="preserve">Not Staffed</t>
  </si>
  <si>
    <t xml:space="preserve">Understaffed</t>
  </si>
  <si>
    <t xml:space="preserve">Fully Staffed — EXCLUDED from gap report</t>
  </si>
  <si>
    <t xml:space="preserve">Fully Staffed</t>
  </si>
  <si>
    <t xml:space="preserve">FACILITATOR NOTE:
Trap (a): Single-key VLOOKUP on Process_Code alone returns first matching row (wrong grade). COUNTIFS formula: =COUNTIFS(StaffAllocation!$C$2:$C$21,A2,StaffAllocation!$D$2:$D$21,C2) — both keys mandatory.
Trap (b): DLVR-L4 Allocated=0 → Status must be 'Not Staffed' (not 'Understaffed'). Nested IF order: IF(E=0,'Not Staffed',IF(E&gt;=D,'Fully Staffed','Understaffed')).
Trap (c): DISC-L1 and DLVR-L2 are exactly met (Alloc=Req=2). Status='Fully Staffed'; Gap must be blank not 0; excluded from gap report. ROAD-L2 is over-allocated (Alloc=2&gt;Req=1) → also 'Fully Staffed'.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</si>
</sst>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4F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2F7FF"/>
        <bgColor rgb="FFFFFFFF"/>
      </patternFill>
    </fill>
    <fill>
      <patternFill patternType="solid">
        <fgColor rgb="FFFFFFFF"/>
        <bgColor rgb="FFF2F7FF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2F7FF"/>
      </patternFill>
    </fill>
    <fill>
      <patternFill patternType="solid">
        <fgColor rgb="FF2E7D32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7F4F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6</v>
      </c>
      <c r="D3" s="3" t="s">
        <v>7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6</v>
      </c>
      <c r="D4" s="2" t="s">
        <v>12</v>
      </c>
    </row>
    <row r="5" customFormat="false" ht="15" hidden="false" customHeight="false" outlineLevel="0" collapsed="false">
      <c r="A5" s="3" t="s">
        <v>13</v>
      </c>
      <c r="B5" s="3" t="s">
        <v>14</v>
      </c>
      <c r="C5" s="3" t="s">
        <v>6</v>
      </c>
      <c r="D5" s="3" t="s">
        <v>12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6</v>
      </c>
      <c r="D6" s="2" t="s">
        <v>17</v>
      </c>
    </row>
    <row r="7" customFormat="false" ht="15" hidden="false" customHeight="false" outlineLevel="0" collapsed="false">
      <c r="A7" s="3" t="s">
        <v>18</v>
      </c>
      <c r="B7" s="3" t="s">
        <v>19</v>
      </c>
      <c r="C7" s="3" t="s">
        <v>6</v>
      </c>
      <c r="D7" s="3" t="s">
        <v>20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s">
        <v>23</v>
      </c>
      <c r="D8" s="2" t="s">
        <v>12</v>
      </c>
    </row>
    <row r="9" customFormat="false" ht="15" hidden="false" customHeight="false" outlineLevel="0" collapsed="false">
      <c r="A9" s="3" t="s">
        <v>24</v>
      </c>
      <c r="B9" s="3" t="s">
        <v>25</v>
      </c>
      <c r="C9" s="3" t="s">
        <v>23</v>
      </c>
      <c r="D9" s="3" t="s">
        <v>12</v>
      </c>
    </row>
    <row r="10" customFormat="false" ht="15" hidden="false" customHeight="false" outlineLevel="0" collapsed="false">
      <c r="A10" s="2" t="s">
        <v>26</v>
      </c>
      <c r="B10" s="2" t="s">
        <v>27</v>
      </c>
      <c r="C10" s="2" t="s">
        <v>23</v>
      </c>
      <c r="D10" s="2" t="s">
        <v>17</v>
      </c>
    </row>
    <row r="11" customFormat="false" ht="15" hidden="false" customHeight="false" outlineLevel="0" collapsed="false">
      <c r="A11" s="3" t="s">
        <v>28</v>
      </c>
      <c r="B11" s="3" t="s">
        <v>29</v>
      </c>
      <c r="C11" s="3" t="s">
        <v>23</v>
      </c>
      <c r="D11" s="3" t="s">
        <v>17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s">
        <v>23</v>
      </c>
      <c r="D12" s="2" t="s">
        <v>20</v>
      </c>
    </row>
    <row r="13" customFormat="false" ht="15" hidden="false" customHeight="false" outlineLevel="0" collapsed="false">
      <c r="A13" s="3" t="s">
        <v>32</v>
      </c>
      <c r="B13" s="3" t="s">
        <v>33</v>
      </c>
      <c r="C13" s="3" t="s">
        <v>34</v>
      </c>
      <c r="D13" s="3" t="s">
        <v>7</v>
      </c>
    </row>
    <row r="14" customFormat="false" ht="15" hidden="false" customHeight="false" outlineLevel="0" collapsed="false">
      <c r="A14" s="2" t="s">
        <v>35</v>
      </c>
      <c r="B14" s="2" t="s">
        <v>36</v>
      </c>
      <c r="C14" s="2" t="s">
        <v>34</v>
      </c>
      <c r="D14" s="2" t="s">
        <v>7</v>
      </c>
    </row>
    <row r="15" customFormat="false" ht="15" hidden="false" customHeight="false" outlineLevel="0" collapsed="false">
      <c r="A15" s="3" t="s">
        <v>37</v>
      </c>
      <c r="B15" s="3" t="s">
        <v>38</v>
      </c>
      <c r="C15" s="3" t="s">
        <v>34</v>
      </c>
      <c r="D15" s="3" t="s">
        <v>7</v>
      </c>
    </row>
    <row r="16" customFormat="false" ht="15" hidden="false" customHeight="false" outlineLevel="0" collapsed="false">
      <c r="A16" s="2" t="s">
        <v>39</v>
      </c>
      <c r="B16" s="2" t="s">
        <v>40</v>
      </c>
      <c r="C16" s="2" t="s">
        <v>34</v>
      </c>
      <c r="D16" s="2" t="s">
        <v>12</v>
      </c>
    </row>
    <row r="17" customFormat="false" ht="15" hidden="false" customHeight="false" outlineLevel="0" collapsed="false">
      <c r="A17" s="3" t="s">
        <v>41</v>
      </c>
      <c r="B17" s="3" t="s">
        <v>42</v>
      </c>
      <c r="C17" s="3" t="s">
        <v>34</v>
      </c>
      <c r="D17" s="3" t="s">
        <v>12</v>
      </c>
    </row>
    <row r="18" customFormat="false" ht="15" hidden="false" customHeight="false" outlineLevel="0" collapsed="false">
      <c r="A18" s="2" t="s">
        <v>43</v>
      </c>
      <c r="B18" s="2" t="s">
        <v>44</v>
      </c>
      <c r="C18" s="2" t="s">
        <v>34</v>
      </c>
      <c r="D18" s="2" t="s">
        <v>17</v>
      </c>
    </row>
    <row r="19" customFormat="false" ht="15" hidden="false" customHeight="false" outlineLevel="0" collapsed="false">
      <c r="A19" s="3" t="s">
        <v>45</v>
      </c>
      <c r="B19" s="3" t="s">
        <v>46</v>
      </c>
      <c r="C19" s="3" t="s">
        <v>47</v>
      </c>
      <c r="D19" s="3" t="s">
        <v>7</v>
      </c>
    </row>
    <row r="20" customFormat="false" ht="15" hidden="false" customHeight="false" outlineLevel="0" collapsed="false">
      <c r="A20" s="2" t="s">
        <v>48</v>
      </c>
      <c r="B20" s="2" t="s">
        <v>49</v>
      </c>
      <c r="C20" s="2" t="s">
        <v>47</v>
      </c>
      <c r="D20" s="2" t="s">
        <v>12</v>
      </c>
    </row>
    <row r="21" customFormat="false" ht="15" hidden="false" customHeight="false" outlineLevel="0" collapsed="false">
      <c r="A21" s="3" t="s">
        <v>50</v>
      </c>
      <c r="B21" s="3" t="s">
        <v>51</v>
      </c>
      <c r="C21" s="3" t="s">
        <v>47</v>
      </c>
      <c r="D21" s="3" t="s">
        <v>17</v>
      </c>
    </row>
    <row r="23" customFormat="false" ht="109.5" hidden="false" customHeight="true" outlineLevel="0" collapsed="false">
      <c r="A23" s="4" t="s">
        <v>52</v>
      </c>
      <c r="B23" s="4"/>
      <c r="C23" s="4"/>
      <c r="D23" s="4"/>
    </row>
  </sheetData>
  <mergeCells count="1"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8"/>
  </cols>
  <sheetData>
    <row r="1" customFormat="false" ht="27.75" hidden="false" customHeight="true" outlineLevel="0" collapsed="false">
      <c r="A1" s="1" t="s">
        <v>2</v>
      </c>
      <c r="B1" s="1" t="s">
        <v>53</v>
      </c>
      <c r="C1" s="1" t="s">
        <v>3</v>
      </c>
      <c r="D1" s="1" t="s">
        <v>54</v>
      </c>
      <c r="E1" s="1" t="s">
        <v>55</v>
      </c>
      <c r="F1" s="1" t="s">
        <v>56</v>
      </c>
      <c r="G1" s="1" t="s">
        <v>57</v>
      </c>
    </row>
    <row r="2" customFormat="false" ht="15" hidden="false" customHeight="false" outlineLevel="0" collapsed="false">
      <c r="A2" s="2" t="s">
        <v>6</v>
      </c>
      <c r="B2" s="2" t="s">
        <v>58</v>
      </c>
      <c r="C2" s="2" t="s">
        <v>7</v>
      </c>
      <c r="D2" s="2" t="n">
        <v>2</v>
      </c>
      <c r="E2" s="5" t="n">
        <f aca="false">COUNTIFS(StaffAllocation!$C$2:$C$21,$A2,StaffAllocation!$D$2:$D$21,$C2)</f>
        <v>2</v>
      </c>
      <c r="F2" s="2" t="str">
        <f aca="false">IF(E2=0,"Not Staffed",IF(E2&gt;=$D2,"Fully Staffed","Understaffed"))</f>
        <v>Fully Staffed</v>
      </c>
      <c r="G2" s="2" t="str">
        <f aca="false">IF(F2&lt;&gt;"Fully Staffed",E2-D2,"")</f>
        <v/>
      </c>
    </row>
    <row r="3" customFormat="false" ht="15" hidden="false" customHeight="false" outlineLevel="0" collapsed="false">
      <c r="A3" s="3" t="s">
        <v>6</v>
      </c>
      <c r="B3" s="3" t="s">
        <v>58</v>
      </c>
      <c r="C3" s="3" t="s">
        <v>12</v>
      </c>
      <c r="D3" s="3" t="n">
        <v>3</v>
      </c>
      <c r="E3" s="3" t="n">
        <f aca="false">COUNTIFS(StaffAllocation!$C$2:$C$21,$A3,StaffAllocation!$D$2:$D$21,$C3)</f>
        <v>2</v>
      </c>
      <c r="F3" s="3" t="str">
        <f aca="false">IF(E3=0,"Not Staffed",IF(E3&gt;=$D3,"Fully Staffed","Understaffed"))</f>
        <v>Understaffed</v>
      </c>
      <c r="G3" s="3" t="n">
        <f aca="false">IF(F3&lt;&gt;"Fully Staffed",E3-D3,"")</f>
        <v>-1</v>
      </c>
    </row>
    <row r="4" customFormat="false" ht="15" hidden="false" customHeight="false" outlineLevel="0" collapsed="false">
      <c r="A4" s="2" t="s">
        <v>6</v>
      </c>
      <c r="B4" s="2" t="s">
        <v>58</v>
      </c>
      <c r="C4" s="2" t="s">
        <v>17</v>
      </c>
      <c r="D4" s="2" t="n">
        <v>2</v>
      </c>
      <c r="E4" s="2" t="n">
        <f aca="false">COUNTIFS(StaffAllocation!$C$2:$C$21,$A4,StaffAllocation!$D$2:$D$21,$C4)</f>
        <v>1</v>
      </c>
      <c r="F4" s="2" t="str">
        <f aca="false">IF(E4=0,"Not Staffed",IF(E4&gt;=$D4,"Fully Staffed","Understaffed"))</f>
        <v>Understaffed</v>
      </c>
      <c r="G4" s="2" t="n">
        <f aca="false">IF(F4&lt;&gt;"Fully Staffed",E4-D4,"")</f>
        <v>-1</v>
      </c>
    </row>
    <row r="5" customFormat="false" ht="15" hidden="false" customHeight="false" outlineLevel="0" collapsed="false">
      <c r="A5" s="3" t="s">
        <v>6</v>
      </c>
      <c r="B5" s="3" t="s">
        <v>58</v>
      </c>
      <c r="C5" s="3" t="s">
        <v>20</v>
      </c>
      <c r="D5" s="3" t="n">
        <v>1</v>
      </c>
      <c r="E5" s="5" t="n">
        <f aca="false">COUNTIFS(StaffAllocation!$C$2:$C$21,$A5,StaffAllocation!$D$2:$D$21,$C5)</f>
        <v>1</v>
      </c>
      <c r="F5" s="3" t="str">
        <f aca="false">IF(E5=0,"Not Staffed",IF(E5&gt;=$D5,"Fully Staffed","Understaffed"))</f>
        <v>Fully Staffed</v>
      </c>
      <c r="G5" s="3" t="str">
        <f aca="false">IF(F5&lt;&gt;"Fully Staffed",E5-D5,"")</f>
        <v/>
      </c>
    </row>
    <row r="6" customFormat="false" ht="15" hidden="false" customHeight="false" outlineLevel="0" collapsed="false">
      <c r="A6" s="2" t="s">
        <v>23</v>
      </c>
      <c r="B6" s="2" t="s">
        <v>59</v>
      </c>
      <c r="C6" s="2" t="s">
        <v>12</v>
      </c>
      <c r="D6" s="2" t="n">
        <v>1</v>
      </c>
      <c r="E6" s="2" t="n">
        <f aca="false">COUNTIFS(StaffAllocation!$C$2:$C$21,$A6,StaffAllocation!$D$2:$D$21,$C6)</f>
        <v>2</v>
      </c>
      <c r="F6" s="2" t="str">
        <f aca="false">IF(E6=0,"Not Staffed",IF(E6&gt;=$D6,"Fully Staffed","Understaffed"))</f>
        <v>Fully Staffed</v>
      </c>
      <c r="G6" s="2" t="str">
        <f aca="false">IF(F6&lt;&gt;"Fully Staffed",E6-D6,"")</f>
        <v/>
      </c>
    </row>
    <row r="7" customFormat="false" ht="15" hidden="false" customHeight="false" outlineLevel="0" collapsed="false">
      <c r="A7" s="3" t="s">
        <v>23</v>
      </c>
      <c r="B7" s="3" t="s">
        <v>59</v>
      </c>
      <c r="C7" s="3" t="s">
        <v>17</v>
      </c>
      <c r="D7" s="3" t="n">
        <v>3</v>
      </c>
      <c r="E7" s="3" t="n">
        <f aca="false">COUNTIFS(StaffAllocation!$C$2:$C$21,$A7,StaffAllocation!$D$2:$D$21,$C7)</f>
        <v>2</v>
      </c>
      <c r="F7" s="3" t="str">
        <f aca="false">IF(E7=0,"Not Staffed",IF(E7&gt;=$D7,"Fully Staffed","Understaffed"))</f>
        <v>Understaffed</v>
      </c>
      <c r="G7" s="3" t="n">
        <f aca="false">IF(F7&lt;&gt;"Fully Staffed",E7-D7,"")</f>
        <v>-1</v>
      </c>
    </row>
    <row r="8" customFormat="false" ht="15" hidden="false" customHeight="false" outlineLevel="0" collapsed="false">
      <c r="A8" s="2" t="s">
        <v>23</v>
      </c>
      <c r="B8" s="2" t="s">
        <v>59</v>
      </c>
      <c r="C8" s="2" t="s">
        <v>20</v>
      </c>
      <c r="D8" s="2" t="n">
        <v>2</v>
      </c>
      <c r="E8" s="2" t="n">
        <f aca="false">COUNTIFS(StaffAllocation!$C$2:$C$21,$A8,StaffAllocation!$D$2:$D$21,$C8)</f>
        <v>1</v>
      </c>
      <c r="F8" s="2" t="str">
        <f aca="false">IF(E8=0,"Not Staffed",IF(E8&gt;=$D8,"Fully Staffed","Understaffed"))</f>
        <v>Understaffed</v>
      </c>
      <c r="G8" s="2" t="n">
        <f aca="false">IF(F8&lt;&gt;"Fully Staffed",E8-D8,"")</f>
        <v>-1</v>
      </c>
    </row>
    <row r="9" customFormat="false" ht="15" hidden="false" customHeight="false" outlineLevel="0" collapsed="false">
      <c r="A9" s="3" t="s">
        <v>34</v>
      </c>
      <c r="B9" s="3" t="s">
        <v>60</v>
      </c>
      <c r="C9" s="3" t="s">
        <v>12</v>
      </c>
      <c r="D9" s="3" t="n">
        <v>2</v>
      </c>
      <c r="E9" s="5" t="n">
        <f aca="false">COUNTIFS(StaffAllocation!$C$2:$C$21,$A9,StaffAllocation!$D$2:$D$21,$C9)</f>
        <v>2</v>
      </c>
      <c r="F9" s="3" t="str">
        <f aca="false">IF(E9=0,"Not Staffed",IF(E9&gt;=$D9,"Fully Staffed","Understaffed"))</f>
        <v>Fully Staffed</v>
      </c>
      <c r="G9" s="3" t="str">
        <f aca="false">IF(F9&lt;&gt;"Fully Staffed",E9-D9,"")</f>
        <v/>
      </c>
    </row>
    <row r="10" customFormat="false" ht="15" hidden="false" customHeight="false" outlineLevel="0" collapsed="false">
      <c r="A10" s="2" t="s">
        <v>34</v>
      </c>
      <c r="B10" s="2" t="s">
        <v>60</v>
      </c>
      <c r="C10" s="2" t="s">
        <v>17</v>
      </c>
      <c r="D10" s="2" t="n">
        <v>4</v>
      </c>
      <c r="E10" s="2" t="n">
        <f aca="false">COUNTIFS(StaffAllocation!$C$2:$C$21,$A10,StaffAllocation!$D$2:$D$21,$C10)</f>
        <v>1</v>
      </c>
      <c r="F10" s="2" t="str">
        <f aca="false">IF(E10=0,"Not Staffed",IF(E10&gt;=$D10,"Fully Staffed","Understaffed"))</f>
        <v>Understaffed</v>
      </c>
      <c r="G10" s="2" t="n">
        <f aca="false">IF(F10&lt;&gt;"Fully Staffed",E10-D10,"")</f>
        <v>-3</v>
      </c>
    </row>
    <row r="11" customFormat="false" ht="15" hidden="false" customHeight="false" outlineLevel="0" collapsed="false">
      <c r="A11" s="3" t="s">
        <v>34</v>
      </c>
      <c r="B11" s="3" t="s">
        <v>60</v>
      </c>
      <c r="C11" s="3" t="s">
        <v>20</v>
      </c>
      <c r="D11" s="3" t="n">
        <v>2</v>
      </c>
      <c r="E11" s="5" t="n">
        <f aca="false">COUNTIFS(StaffAllocation!$C$2:$C$21,$A11,StaffAllocation!$D$2:$D$21,$C11)</f>
        <v>0</v>
      </c>
      <c r="F11" s="3" t="str">
        <f aca="false">IF(E11=0,"Not Staffed",IF(E11&gt;=$D11,"Fully Staffed","Understaffed"))</f>
        <v>Not Staffed</v>
      </c>
      <c r="G11" s="3" t="n">
        <f aca="false">IF(F11&lt;&gt;"Fully Staffed",E11-D11,"")</f>
        <v>-2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7</v>
      </c>
      <c r="D12" s="2" t="n">
        <v>3</v>
      </c>
      <c r="E12" s="2" t="n">
        <f aca="false">COUNTIFS(StaffAllocation!$C$2:$C$21,$A12,StaffAllocation!$D$2:$D$21,$C12)</f>
        <v>1</v>
      </c>
      <c r="F12" s="2" t="str">
        <f aca="false">IF(E12=0,"Not Staffed",IF(E12&gt;=$D12,"Fully Staffed","Understaffed"))</f>
        <v>Understaffed</v>
      </c>
      <c r="G12" s="2" t="n">
        <f aca="false">IF(F12&lt;&gt;"Fully Staffed",E12-D12,"")</f>
        <v>-2</v>
      </c>
    </row>
    <row r="15" customFormat="false" ht="24" hidden="false" customHeight="true" outlineLevel="0" collapsed="false">
      <c r="A15" s="6" t="s">
        <v>62</v>
      </c>
      <c r="B15" s="6"/>
      <c r="C15" s="6"/>
      <c r="D15" s="6"/>
      <c r="E15" s="6"/>
      <c r="F15" s="6"/>
      <c r="G15" s="6"/>
    </row>
    <row r="16" customFormat="false" ht="27.75" hidden="false" customHeight="true" outlineLevel="0" collapsed="false">
      <c r="A16" s="1" t="s">
        <v>2</v>
      </c>
      <c r="B16" s="1" t="s">
        <v>53</v>
      </c>
      <c r="C16" s="1" t="s">
        <v>3</v>
      </c>
      <c r="D16" s="1" t="s">
        <v>54</v>
      </c>
      <c r="E16" s="1" t="s">
        <v>55</v>
      </c>
      <c r="F16" s="1" t="s">
        <v>56</v>
      </c>
      <c r="G16" s="1" t="s">
        <v>57</v>
      </c>
    </row>
    <row r="17" customFormat="false" ht="15" hidden="false" customHeight="false" outlineLevel="0" collapsed="false">
      <c r="A17" s="2" t="s">
        <v>34</v>
      </c>
      <c r="B17" s="2" t="s">
        <v>60</v>
      </c>
      <c r="C17" s="2" t="s">
        <v>20</v>
      </c>
      <c r="D17" s="2" t="n">
        <v>2</v>
      </c>
      <c r="E17" s="2" t="n">
        <v>0</v>
      </c>
      <c r="F17" s="2" t="s">
        <v>63</v>
      </c>
      <c r="G17" s="2" t="n">
        <v>-2</v>
      </c>
    </row>
    <row r="18" customFormat="false" ht="15" hidden="false" customHeight="false" outlineLevel="0" collapsed="false">
      <c r="A18" s="3" t="s">
        <v>34</v>
      </c>
      <c r="B18" s="3" t="s">
        <v>60</v>
      </c>
      <c r="C18" s="3" t="s">
        <v>17</v>
      </c>
      <c r="D18" s="3" t="n">
        <v>4</v>
      </c>
      <c r="E18" s="3" t="n">
        <v>1</v>
      </c>
      <c r="F18" s="3" t="s">
        <v>64</v>
      </c>
      <c r="G18" s="3" t="n">
        <v>-3</v>
      </c>
    </row>
    <row r="19" customFormat="false" ht="15" hidden="false" customHeight="false" outlineLevel="0" collapsed="false">
      <c r="A19" s="2" t="s">
        <v>47</v>
      </c>
      <c r="B19" s="2" t="s">
        <v>61</v>
      </c>
      <c r="C19" s="2" t="s">
        <v>7</v>
      </c>
      <c r="D19" s="2" t="n">
        <v>3</v>
      </c>
      <c r="E19" s="2" t="n">
        <v>1</v>
      </c>
      <c r="F19" s="2" t="s">
        <v>64</v>
      </c>
      <c r="G19" s="2" t="n">
        <v>-2</v>
      </c>
    </row>
    <row r="20" customFormat="false" ht="15" hidden="false" customHeight="false" outlineLevel="0" collapsed="false">
      <c r="A20" s="3" t="s">
        <v>23</v>
      </c>
      <c r="B20" s="3" t="s">
        <v>59</v>
      </c>
      <c r="C20" s="3" t="s">
        <v>17</v>
      </c>
      <c r="D20" s="3" t="n">
        <v>3</v>
      </c>
      <c r="E20" s="3" t="n">
        <v>2</v>
      </c>
      <c r="F20" s="3" t="s">
        <v>64</v>
      </c>
      <c r="G20" s="3" t="n">
        <v>-1</v>
      </c>
    </row>
    <row r="21" customFormat="false" ht="15" hidden="false" customHeight="false" outlineLevel="0" collapsed="false">
      <c r="A21" s="2" t="s">
        <v>23</v>
      </c>
      <c r="B21" s="2" t="s">
        <v>59</v>
      </c>
      <c r="C21" s="2" t="s">
        <v>20</v>
      </c>
      <c r="D21" s="2" t="n">
        <v>2</v>
      </c>
      <c r="E21" s="2" t="n">
        <v>1</v>
      </c>
      <c r="F21" s="2" t="s">
        <v>64</v>
      </c>
      <c r="G21" s="2" t="n">
        <v>-1</v>
      </c>
    </row>
    <row r="22" customFormat="false" ht="15" hidden="false" customHeight="false" outlineLevel="0" collapsed="false">
      <c r="A22" s="3" t="s">
        <v>6</v>
      </c>
      <c r="B22" s="3" t="s">
        <v>58</v>
      </c>
      <c r="C22" s="3" t="s">
        <v>12</v>
      </c>
      <c r="D22" s="3" t="n">
        <v>3</v>
      </c>
      <c r="E22" s="3" t="n">
        <v>2</v>
      </c>
      <c r="F22" s="3" t="s">
        <v>64</v>
      </c>
      <c r="G22" s="3" t="n">
        <v>-1</v>
      </c>
    </row>
    <row r="23" customFormat="false" ht="15" hidden="false" customHeight="false" outlineLevel="0" collapsed="false">
      <c r="A23" s="2" t="s">
        <v>6</v>
      </c>
      <c r="B23" s="2" t="s">
        <v>58</v>
      </c>
      <c r="C23" s="2" t="s">
        <v>17</v>
      </c>
      <c r="D23" s="2" t="n">
        <v>2</v>
      </c>
      <c r="E23" s="2" t="n">
        <v>1</v>
      </c>
      <c r="F23" s="2" t="s">
        <v>64</v>
      </c>
      <c r="G23" s="2" t="n">
        <v>-1</v>
      </c>
    </row>
    <row r="26" customFormat="false" ht="24" hidden="false" customHeight="true" outlineLevel="0" collapsed="false">
      <c r="A26" s="7" t="s">
        <v>65</v>
      </c>
      <c r="B26" s="7"/>
      <c r="C26" s="7"/>
      <c r="D26" s="7"/>
      <c r="E26" s="7"/>
      <c r="F26" s="7"/>
      <c r="G26" s="7"/>
    </row>
    <row r="27" customFormat="false" ht="27.75" hidden="false" customHeight="true" outlineLevel="0" collapsed="false">
      <c r="A27" s="1" t="s">
        <v>2</v>
      </c>
      <c r="B27" s="1" t="s">
        <v>53</v>
      </c>
      <c r="C27" s="1" t="s">
        <v>3</v>
      </c>
      <c r="D27" s="1" t="s">
        <v>54</v>
      </c>
      <c r="E27" s="1" t="s">
        <v>55</v>
      </c>
      <c r="F27" s="1" t="s">
        <v>56</v>
      </c>
      <c r="G27" s="1" t="s">
        <v>57</v>
      </c>
    </row>
    <row r="28" customFormat="false" ht="15" hidden="false" customHeight="false" outlineLevel="0" collapsed="false">
      <c r="A28" s="2" t="s">
        <v>6</v>
      </c>
      <c r="B28" s="2" t="s">
        <v>58</v>
      </c>
      <c r="C28" s="2" t="s">
        <v>7</v>
      </c>
      <c r="D28" s="2" t="n">
        <v>2</v>
      </c>
      <c r="E28" s="2" t="n">
        <v>2</v>
      </c>
      <c r="F28" s="2" t="s">
        <v>66</v>
      </c>
      <c r="G28" s="2"/>
    </row>
    <row r="29" customFormat="false" ht="15" hidden="false" customHeight="false" outlineLevel="0" collapsed="false">
      <c r="A29" s="3" t="s">
        <v>6</v>
      </c>
      <c r="B29" s="3" t="s">
        <v>58</v>
      </c>
      <c r="C29" s="3" t="s">
        <v>20</v>
      </c>
      <c r="D29" s="3" t="n">
        <v>1</v>
      </c>
      <c r="E29" s="3" t="n">
        <v>1</v>
      </c>
      <c r="F29" s="3" t="s">
        <v>66</v>
      </c>
      <c r="G29" s="3"/>
    </row>
    <row r="30" customFormat="false" ht="15" hidden="false" customHeight="false" outlineLevel="0" collapsed="false">
      <c r="A30" s="2" t="s">
        <v>23</v>
      </c>
      <c r="B30" s="2" t="s">
        <v>59</v>
      </c>
      <c r="C30" s="2" t="s">
        <v>12</v>
      </c>
      <c r="D30" s="2" t="n">
        <v>1</v>
      </c>
      <c r="E30" s="2" t="n">
        <v>2</v>
      </c>
      <c r="F30" s="2" t="s">
        <v>66</v>
      </c>
      <c r="G30" s="2"/>
    </row>
    <row r="31" customFormat="false" ht="15" hidden="false" customHeight="false" outlineLevel="0" collapsed="false">
      <c r="A31" s="3" t="s">
        <v>34</v>
      </c>
      <c r="B31" s="3" t="s">
        <v>60</v>
      </c>
      <c r="C31" s="3" t="s">
        <v>12</v>
      </c>
      <c r="D31" s="3" t="n">
        <v>2</v>
      </c>
      <c r="E31" s="3" t="n">
        <v>2</v>
      </c>
      <c r="F31" s="3" t="s">
        <v>66</v>
      </c>
      <c r="G31" s="3"/>
    </row>
    <row r="34" customFormat="false" ht="109.5" hidden="false" customHeight="true" outlineLevel="0" collapsed="false">
      <c r="A34" s="4" t="s">
        <v>67</v>
      </c>
      <c r="B34" s="4"/>
      <c r="C34" s="4"/>
      <c r="D34" s="4"/>
      <c r="E34" s="4"/>
      <c r="F34" s="4"/>
      <c r="G34" s="4"/>
    </row>
  </sheetData>
  <mergeCells count="3">
    <mergeCell ref="A15:G15"/>
    <mergeCell ref="A26:G26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2026-04-13T13:53:56Z</dcterms:created>
  <dc:creator>openpyxl</dc:creator>
  <dc:description/>
  <dc:language>en-US</dc:language>
  <cp:lastModifiedBy/>
  <dcterms:modified xsi:type="dcterms:W3CDTF">2026-04-13T13:53:56Z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