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TEUtilisation" sheetId="1" state="visible" r:id="rId3"/>
    <sheet name="RateC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<sst xmlns="http://schemas.openxmlformats.org/spreadsheetml/2006/main" count="79" uniqueCount="35">
  <si>
    <t xml:space="preserve">Resource_ID</t>
  </si>
  <si>
    <t xml:space="preserve">Resource_Name</t>
  </si>
  <si>
    <t xml:space="preserve">Role</t>
  </si>
  <si>
    <t xml:space="preserve">Project_Code</t>
  </si>
  <si>
    <t xml:space="preserve">Hours_Logged</t>
  </si>
  <si>
    <t xml:space="preserve">Hourly_Rate_INR</t>
  </si>
  <si>
    <t xml:space="preserve">Billable_Amount_INR</t>
  </si>
  <si>
    <t xml:space="preserve">Aarav Sharma</t>
  </si>
  <si>
    <t xml:space="preserve">Senior Product Manager</t>
  </si>
  <si>
    <t xml:space="preserve">PROD-2024-01</t>
  </si>
  <si>
    <t xml:space="preserve">Priya Mehta</t>
  </si>
  <si>
    <t xml:space="preserve">Product Manager</t>
  </si>
  <si>
    <t xml:space="preserve">PROD-2024-02</t>
  </si>
  <si>
    <t xml:space="preserve">Rohan Iyer</t>
  </si>
  <si>
    <t xml:space="preserve">Sneha Patel</t>
  </si>
  <si>
    <t xml:space="preserve">Associate Product Manager</t>
  </si>
  <si>
    <t xml:space="preserve">PROD-2024-03</t>
  </si>
  <si>
    <t xml:space="preserve">Arjun Nair</t>
  </si>
  <si>
    <t xml:space="preserve">Divya Krishnan</t>
  </si>
  <si>
    <t xml:space="preserve">Product Analyst</t>
  </si>
  <si>
    <t xml:space="preserve">PROD-2024-04</t>
  </si>
  <si>
    <t xml:space="preserve">Karthik Raj</t>
  </si>
  <si>
    <t xml:space="preserve">1008</t>
  </si>
  <si>
    <t xml:space="preserve">Nisha Gupta</t>
  </si>
  <si>
    <t xml:space="preserve">1009</t>
  </si>
  <si>
    <t xml:space="preserve">Vikram Singh</t>
  </si>
  <si>
    <t xml:space="preserve">Ananya Bose</t>
  </si>
  <si>
    <t xml:space="preserve">EXT-01</t>
  </si>
  <si>
    <t xml:space="preserve">Rahul Kapoor</t>
  </si>
  <si>
    <t xml:space="preserve">External Consultant</t>
  </si>
  <si>
    <t xml:space="preserve">PROD-2024-05</t>
  </si>
  <si>
    <t xml:space="preserve">EXT-02</t>
  </si>
  <si>
    <t xml:space="preserve">Supriya Das</t>
  </si>
  <si>
    <t xml:space="preserve">FACILITATOR NOTE — Trap identification:
Trap (a) Rows 9-10: Resource_IDs '1008' and '1009' stored as TEXT in col A; RateCard stores them as NUMBERS. VLOOKUP type-mismatch fires IFERROR → fallback rate ₹800/hr. Expected: ₹17,600 (row 9) and ₹12,000 (row 10).
Trap (b) Rows 11-12: EXT-01, EXT-02 absent from RateCard. IFERROR fires → ₹800/hr. Expected: ₹14,400 and ₹20,000.
Trap (c) Row 7: Hours_Logged = 0. Billable_Amount must return 0 (not blank). Cell E7 must contain 0 (integer), not an empty string. Formula =E7*F7 then yields 0 correctly.</t>
  </si>
  <si>
    <t xml:space="preserve">FACILITATOR NOTE: IDs 1008 and 1009 are stored as NUMBERS here. In FTEUtilisation, those same IDs are entered as TEXT strings, triggering IFERROR (fallback ₹800). Fallback rate also applies to EXT-01/EXT-02 (not in this table).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</si>
</sst>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4F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FFFFFF"/>
        <bgColor rgb="FFF2F7FF"/>
      </patternFill>
    </fill>
    <fill>
      <patternFill patternType="solid">
        <fgColor rgb="FFFFF2CC"/>
        <bgColor rgb="FFF2F7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4F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1001</v>
      </c>
      <c r="B2" s="2" t="s">
        <v>7</v>
      </c>
      <c r="C2" s="2" t="s">
        <v>8</v>
      </c>
      <c r="D2" s="2" t="s">
        <v>9</v>
      </c>
      <c r="E2" s="2" t="n">
        <v>40</v>
      </c>
      <c r="F2" s="2" t="n">
        <f aca="false">IFERROR(VLOOKUP(A2,RateCard!$A$2:$D$11,4,FALSE()),800)</f>
        <v>2500</v>
      </c>
      <c r="G2" s="2" t="n">
        <f aca="false">E2*F2</f>
        <v>100000</v>
      </c>
    </row>
    <row r="3" customFormat="false" ht="15" hidden="false" customHeight="false" outlineLevel="0" collapsed="false">
      <c r="A3" s="3" t="n">
        <v>1002</v>
      </c>
      <c r="B3" s="3" t="s">
        <v>10</v>
      </c>
      <c r="C3" s="3" t="s">
        <v>11</v>
      </c>
      <c r="D3" s="3" t="s">
        <v>12</v>
      </c>
      <c r="E3" s="3" t="n">
        <v>35</v>
      </c>
      <c r="F3" s="3" t="n">
        <f aca="false">IFERROR(VLOOKUP(A3,RateCard!$A$2:$D$11,4,FALSE()),800)</f>
        <v>2000</v>
      </c>
      <c r="G3" s="3" t="n">
        <f aca="false">E3*F3</f>
        <v>70000</v>
      </c>
    </row>
    <row r="4" customFormat="false" ht="15" hidden="false" customHeight="false" outlineLevel="0" collapsed="false">
      <c r="A4" s="2" t="n">
        <v>1003</v>
      </c>
      <c r="B4" s="2" t="s">
        <v>13</v>
      </c>
      <c r="C4" s="2" t="s">
        <v>11</v>
      </c>
      <c r="D4" s="2" t="s">
        <v>9</v>
      </c>
      <c r="E4" s="2" t="n">
        <v>28</v>
      </c>
      <c r="F4" s="2" t="n">
        <f aca="false">IFERROR(VLOOKUP(A4,RateCard!$A$2:$D$11,4,FALSE()),800)</f>
        <v>2000</v>
      </c>
      <c r="G4" s="2" t="n">
        <f aca="false">E4*F4</f>
        <v>56000</v>
      </c>
    </row>
    <row r="5" customFormat="false" ht="15" hidden="false" customHeight="false" outlineLevel="0" collapsed="false">
      <c r="A5" s="3" t="n">
        <v>1004</v>
      </c>
      <c r="B5" s="3" t="s">
        <v>14</v>
      </c>
      <c r="C5" s="3" t="s">
        <v>15</v>
      </c>
      <c r="D5" s="3" t="s">
        <v>16</v>
      </c>
      <c r="E5" s="3" t="n">
        <v>42</v>
      </c>
      <c r="F5" s="3" t="n">
        <f aca="false">IFERROR(VLOOKUP(A5,RateCard!$A$2:$D$11,4,FALSE()),800)</f>
        <v>1500</v>
      </c>
      <c r="G5" s="3" t="n">
        <f aca="false">E5*F5</f>
        <v>63000</v>
      </c>
    </row>
    <row r="6" customFormat="false" ht="15" hidden="false" customHeight="false" outlineLevel="0" collapsed="false">
      <c r="A6" s="2" t="n">
        <v>1005</v>
      </c>
      <c r="B6" s="2" t="s">
        <v>17</v>
      </c>
      <c r="C6" s="2" t="s">
        <v>15</v>
      </c>
      <c r="D6" s="2" t="s">
        <v>12</v>
      </c>
      <c r="E6" s="2" t="n">
        <v>20</v>
      </c>
      <c r="F6" s="2" t="n">
        <f aca="false">IFERROR(VLOOKUP(A6,RateCard!$A$2:$D$11,4,FALSE()),800)</f>
        <v>1500</v>
      </c>
      <c r="G6" s="2" t="n">
        <f aca="false">E6*F6</f>
        <v>30000</v>
      </c>
    </row>
    <row r="7" customFormat="false" ht="15" hidden="false" customHeight="false" outlineLevel="0" collapsed="false">
      <c r="A7" s="3" t="n">
        <v>1006</v>
      </c>
      <c r="B7" s="3" t="s">
        <v>18</v>
      </c>
      <c r="C7" s="3" t="s">
        <v>19</v>
      </c>
      <c r="D7" s="3" t="s">
        <v>20</v>
      </c>
      <c r="E7" s="4" t="n">
        <v>0</v>
      </c>
      <c r="F7" s="3" t="n">
        <f aca="false">IFERROR(VLOOKUP(A7,RateCard!$A$2:$D$11,4,FALSE()),800)</f>
        <v>1200</v>
      </c>
      <c r="G7" s="3" t="n">
        <f aca="false">E7*F7</f>
        <v>0</v>
      </c>
    </row>
    <row r="8" customFormat="false" ht="15" hidden="false" customHeight="false" outlineLevel="0" collapsed="false">
      <c r="A8" s="2" t="n">
        <v>1007</v>
      </c>
      <c r="B8" s="2" t="s">
        <v>21</v>
      </c>
      <c r="C8" s="2" t="s">
        <v>8</v>
      </c>
      <c r="D8" s="2" t="s">
        <v>16</v>
      </c>
      <c r="E8" s="2" t="n">
        <v>38</v>
      </c>
      <c r="F8" s="2" t="n">
        <f aca="false">IFERROR(VLOOKUP(A8,RateCard!$A$2:$D$11,4,FALSE()),800)</f>
        <v>2500</v>
      </c>
      <c r="G8" s="2" t="n">
        <f aca="false">E8*F8</f>
        <v>95000</v>
      </c>
    </row>
    <row r="9" customFormat="false" ht="15" hidden="false" customHeight="false" outlineLevel="0" collapsed="false">
      <c r="A9" s="4" t="s">
        <v>22</v>
      </c>
      <c r="B9" s="3" t="s">
        <v>23</v>
      </c>
      <c r="C9" s="3" t="s">
        <v>11</v>
      </c>
      <c r="D9" s="3" t="s">
        <v>20</v>
      </c>
      <c r="E9" s="3" t="n">
        <v>22</v>
      </c>
      <c r="F9" s="3" t="n">
        <f aca="false">IFERROR(VLOOKUP(A9,RateCard!$A$2:$D$11,4,FALSE()),800)</f>
        <v>2000</v>
      </c>
      <c r="G9" s="3" t="n">
        <f aca="false">E9*F9</f>
        <v>44000</v>
      </c>
    </row>
    <row r="10" customFormat="false" ht="15" hidden="false" customHeight="false" outlineLevel="0" collapsed="false">
      <c r="A10" s="4" t="s">
        <v>24</v>
      </c>
      <c r="B10" s="2" t="s">
        <v>25</v>
      </c>
      <c r="C10" s="2" t="s">
        <v>15</v>
      </c>
      <c r="D10" s="2" t="s">
        <v>9</v>
      </c>
      <c r="E10" s="2" t="n">
        <v>15</v>
      </c>
      <c r="F10" s="2" t="n">
        <f aca="false">IFERROR(VLOOKUP(A10,RateCard!$A$2:$D$11,4,FALSE()),800)</f>
        <v>1500</v>
      </c>
      <c r="G10" s="2" t="n">
        <f aca="false">E10*F10</f>
        <v>22500</v>
      </c>
    </row>
    <row r="11" customFormat="false" ht="15" hidden="false" customHeight="false" outlineLevel="0" collapsed="false">
      <c r="A11" s="3" t="n">
        <v>1010</v>
      </c>
      <c r="B11" s="3" t="s">
        <v>26</v>
      </c>
      <c r="C11" s="3" t="s">
        <v>8</v>
      </c>
      <c r="D11" s="3" t="s">
        <v>12</v>
      </c>
      <c r="E11" s="3" t="n">
        <v>50</v>
      </c>
      <c r="F11" s="3" t="n">
        <f aca="false">IFERROR(VLOOKUP(A11,RateCard!$A$2:$D$11,4,FALSE()),800)</f>
        <v>2500</v>
      </c>
      <c r="G11" s="3" t="n">
        <f aca="false">E11*F11</f>
        <v>125000</v>
      </c>
    </row>
    <row r="12" customFormat="false" ht="15" hidden="false" customHeight="false" outlineLevel="0" collapsed="false">
      <c r="A12" s="4" t="s">
        <v>27</v>
      </c>
      <c r="B12" s="2" t="s">
        <v>28</v>
      </c>
      <c r="C12" s="2" t="s">
        <v>29</v>
      </c>
      <c r="D12" s="2" t="s">
        <v>30</v>
      </c>
      <c r="E12" s="2" t="n">
        <v>18</v>
      </c>
      <c r="F12" s="2" t="n">
        <f aca="false">IFERROR(VLOOKUP(A12,RateCard!$A$2:$D$11,4,FALSE()),800)</f>
        <v>800</v>
      </c>
      <c r="G12" s="2" t="n">
        <f aca="false">E12*F12</f>
        <v>14400</v>
      </c>
    </row>
    <row r="13" customFormat="false" ht="15" hidden="false" customHeight="false" outlineLevel="0" collapsed="false">
      <c r="A13" s="4" t="s">
        <v>31</v>
      </c>
      <c r="B13" s="3" t="s">
        <v>32</v>
      </c>
      <c r="C13" s="3" t="s">
        <v>29</v>
      </c>
      <c r="D13" s="3" t="s">
        <v>30</v>
      </c>
      <c r="E13" s="3" t="n">
        <v>25</v>
      </c>
      <c r="F13" s="3" t="n">
        <f aca="false">IFERROR(VLOOKUP(A13,RateCard!$A$2:$D$11,4,FALSE()),800)</f>
        <v>800</v>
      </c>
      <c r="G13" s="3" t="n">
        <f aca="false">E13*F13</f>
        <v>20000</v>
      </c>
    </row>
    <row r="14" customFormat="false" ht="15" hidden="false" customHeight="false" outlineLevel="0" collapsed="false">
      <c r="A14" s="2" t="n">
        <v>1003</v>
      </c>
      <c r="B14" s="2" t="s">
        <v>13</v>
      </c>
      <c r="C14" s="2" t="s">
        <v>11</v>
      </c>
      <c r="D14" s="2" t="s">
        <v>30</v>
      </c>
      <c r="E14" s="2" t="n">
        <v>12</v>
      </c>
      <c r="F14" s="2" t="n">
        <f aca="false">IFERROR(VLOOKUP(A14,RateCard!$A$2:$D$11,4,FALSE()),800)</f>
        <v>2000</v>
      </c>
      <c r="G14" s="2" t="n">
        <f aca="false">E14*F14</f>
        <v>24000</v>
      </c>
    </row>
    <row r="15" customFormat="false" ht="15" hidden="false" customHeight="false" outlineLevel="0" collapsed="false">
      <c r="A15" s="3" t="n">
        <v>1001</v>
      </c>
      <c r="B15" s="3" t="s">
        <v>7</v>
      </c>
      <c r="C15" s="3" t="s">
        <v>8</v>
      </c>
      <c r="D15" s="3" t="s">
        <v>20</v>
      </c>
      <c r="E15" s="3" t="n">
        <v>8</v>
      </c>
      <c r="F15" s="3" t="n">
        <f aca="false">IFERROR(VLOOKUP(A15,RateCard!$A$2:$D$11,4,FALSE()),800)</f>
        <v>2500</v>
      </c>
      <c r="G15" s="3" t="n">
        <f aca="false">E15*F15</f>
        <v>20000</v>
      </c>
    </row>
    <row r="17" customFormat="false" ht="109.5" hidden="false" customHeight="true" outlineLevel="0" collapsed="false">
      <c r="A17" s="5" t="s">
        <v>33</v>
      </c>
      <c r="B17" s="5"/>
      <c r="C17" s="5"/>
      <c r="D17" s="5"/>
      <c r="E17" s="5"/>
      <c r="F17" s="5"/>
      <c r="G17" s="5"/>
    </row>
  </sheetData>
  <mergeCells count="1"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5</v>
      </c>
    </row>
    <row r="2" customFormat="false" ht="15" hidden="false" customHeight="false" outlineLevel="0" collapsed="false">
      <c r="A2" s="2" t="n">
        <v>1001</v>
      </c>
      <c r="B2" s="2" t="s">
        <v>7</v>
      </c>
      <c r="C2" s="2" t="s">
        <v>8</v>
      </c>
      <c r="D2" s="2" t="n">
        <v>2500</v>
      </c>
    </row>
    <row r="3" customFormat="false" ht="15" hidden="false" customHeight="false" outlineLevel="0" collapsed="false">
      <c r="A3" s="3" t="n">
        <v>1002</v>
      </c>
      <c r="B3" s="3" t="s">
        <v>10</v>
      </c>
      <c r="C3" s="3" t="s">
        <v>11</v>
      </c>
      <c r="D3" s="3" t="n">
        <v>2000</v>
      </c>
    </row>
    <row r="4" customFormat="false" ht="15" hidden="false" customHeight="false" outlineLevel="0" collapsed="false">
      <c r="A4" s="2" t="n">
        <v>1003</v>
      </c>
      <c r="B4" s="2" t="s">
        <v>13</v>
      </c>
      <c r="C4" s="2" t="s">
        <v>11</v>
      </c>
      <c r="D4" s="2" t="n">
        <v>2000</v>
      </c>
    </row>
    <row r="5" customFormat="false" ht="15" hidden="false" customHeight="false" outlineLevel="0" collapsed="false">
      <c r="A5" s="3" t="n">
        <v>1004</v>
      </c>
      <c r="B5" s="3" t="s">
        <v>14</v>
      </c>
      <c r="C5" s="3" t="s">
        <v>15</v>
      </c>
      <c r="D5" s="3" t="n">
        <v>1500</v>
      </c>
    </row>
    <row r="6" customFormat="false" ht="15" hidden="false" customHeight="false" outlineLevel="0" collapsed="false">
      <c r="A6" s="2" t="n">
        <v>1005</v>
      </c>
      <c r="B6" s="2" t="s">
        <v>17</v>
      </c>
      <c r="C6" s="2" t="s">
        <v>15</v>
      </c>
      <c r="D6" s="2" t="n">
        <v>1500</v>
      </c>
    </row>
    <row r="7" customFormat="false" ht="15" hidden="false" customHeight="false" outlineLevel="0" collapsed="false">
      <c r="A7" s="3" t="n">
        <v>1006</v>
      </c>
      <c r="B7" s="3" t="s">
        <v>18</v>
      </c>
      <c r="C7" s="3" t="s">
        <v>19</v>
      </c>
      <c r="D7" s="3" t="n">
        <v>1200</v>
      </c>
    </row>
    <row r="8" customFormat="false" ht="15" hidden="false" customHeight="false" outlineLevel="0" collapsed="false">
      <c r="A8" s="2" t="n">
        <v>1007</v>
      </c>
      <c r="B8" s="2" t="s">
        <v>21</v>
      </c>
      <c r="C8" s="2" t="s">
        <v>8</v>
      </c>
      <c r="D8" s="2" t="n">
        <v>2500</v>
      </c>
    </row>
    <row r="9" customFormat="false" ht="15" hidden="false" customHeight="false" outlineLevel="0" collapsed="false">
      <c r="A9" s="3" t="n">
        <v>1008</v>
      </c>
      <c r="B9" s="3" t="s">
        <v>23</v>
      </c>
      <c r="C9" s="3" t="s">
        <v>11</v>
      </c>
      <c r="D9" s="3" t="n">
        <v>2000</v>
      </c>
    </row>
    <row r="10" customFormat="false" ht="15" hidden="false" customHeight="false" outlineLevel="0" collapsed="false">
      <c r="A10" s="2" t="n">
        <v>1009</v>
      </c>
      <c r="B10" s="2" t="s">
        <v>25</v>
      </c>
      <c r="C10" s="2" t="s">
        <v>15</v>
      </c>
      <c r="D10" s="2" t="n">
        <v>1500</v>
      </c>
    </row>
    <row r="11" customFormat="false" ht="15" hidden="false" customHeight="false" outlineLevel="0" collapsed="false">
      <c r="A11" s="3" t="n">
        <v>1010</v>
      </c>
      <c r="B11" s="3" t="s">
        <v>26</v>
      </c>
      <c r="C11" s="3" t="s">
        <v>8</v>
      </c>
      <c r="D11" s="3" t="n">
        <v>2500</v>
      </c>
    </row>
    <row r="13" customFormat="false" ht="60" hidden="false" customHeight="true" outlineLevel="0" collapsed="false">
      <c r="A13" s="5" t="s">
        <v>34</v>
      </c>
      <c r="B13" s="5"/>
      <c r="C13" s="5"/>
      <c r="D13" s="5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2026-04-13T13:53:56Z</dcterms:created>
  <dc:creator>openpyxl</dc:creator>
  <dc:description/>
  <dc:language>en-US</dc:language>
  <cp:lastModifiedBy/>
  <dcterms:modified xsi:type="dcterms:W3CDTF">2026-04-13T13:53:56Z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